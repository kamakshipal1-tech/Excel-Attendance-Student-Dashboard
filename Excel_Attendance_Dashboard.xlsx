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Kamakshi Pal\Desktop\"/>
    </mc:Choice>
  </mc:AlternateContent>
  <xr:revisionPtr revIDLastSave="0" documentId="8_{00DCF161-0298-479F-AB15-FAAC466A8323}" xr6:coauthVersionLast="47" xr6:coauthVersionMax="47" xr10:uidLastSave="{00000000-0000-0000-0000-000000000000}"/>
  <bookViews>
    <workbookView xWindow="-110" yWindow="-110" windowWidth="19420" windowHeight="11500" xr2:uid="{8AB19E30-ABE3-49C5-84CE-7DD53FAF6753}"/>
  </bookViews>
  <sheets>
    <sheet name="Raw_Data" sheetId="1" r:id="rId1"/>
    <sheet name="Student_Master" sheetId="2" r:id="rId2"/>
    <sheet name="Analysis" sheetId="3" r:id="rId3"/>
    <sheet name="Dashboard" sheetId="4" r:id="rId4"/>
  </sheets>
  <definedNames>
    <definedName name="Slicer_Branch">#N/A</definedName>
    <definedName name="Slicer_Subject">#N/A</definedName>
    <definedName name="Slicer_Year">#N/A</definedName>
  </definedNames>
  <calcPr calcId="191029"/>
  <pivotCaches>
    <pivotCache cacheId="1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G2" i="1"/>
  <c r="H2" i="1" s="1"/>
  <c r="G3" i="1"/>
  <c r="H3" i="1" s="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H73" i="1" s="1"/>
  <c r="G74" i="1"/>
  <c r="H74" i="1" s="1"/>
  <c r="G75" i="1"/>
  <c r="H75" i="1" s="1"/>
  <c r="G76" i="1"/>
  <c r="H76" i="1" s="1"/>
  <c r="G77" i="1"/>
  <c r="H77" i="1" s="1"/>
  <c r="G78" i="1"/>
  <c r="H78" i="1" s="1"/>
  <c r="G79" i="1"/>
  <c r="H79" i="1" s="1"/>
  <c r="G80" i="1"/>
  <c r="H80" i="1" s="1"/>
  <c r="G81" i="1"/>
  <c r="H81" i="1" s="1"/>
  <c r="G82" i="1"/>
  <c r="H82" i="1" s="1"/>
  <c r="G83" i="1"/>
  <c r="H83" i="1" s="1"/>
  <c r="G84" i="1"/>
  <c r="H84" i="1" s="1"/>
  <c r="G85" i="1"/>
  <c r="H85" i="1" s="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H105" i="1" s="1"/>
  <c r="G106" i="1"/>
  <c r="H106" i="1" s="1"/>
  <c r="G107" i="1"/>
  <c r="H107" i="1" s="1"/>
  <c r="G108" i="1"/>
  <c r="H108" i="1" s="1"/>
  <c r="G109" i="1"/>
  <c r="H109" i="1" s="1"/>
  <c r="G110" i="1"/>
  <c r="H110" i="1" s="1"/>
  <c r="G111" i="1"/>
  <c r="H111" i="1" s="1"/>
  <c r="G112" i="1"/>
  <c r="H112" i="1" s="1"/>
  <c r="G113" i="1"/>
  <c r="H113" i="1" s="1"/>
  <c r="G114" i="1"/>
  <c r="H114" i="1" s="1"/>
  <c r="G115" i="1"/>
  <c r="H115" i="1" s="1"/>
  <c r="G116" i="1"/>
  <c r="H116" i="1" s="1"/>
  <c r="G117" i="1"/>
  <c r="H117" i="1" s="1"/>
  <c r="G118" i="1"/>
  <c r="H118" i="1" s="1"/>
  <c r="G119" i="1"/>
  <c r="H119" i="1" s="1"/>
  <c r="G120" i="1"/>
  <c r="H120" i="1" s="1"/>
  <c r="G121" i="1"/>
  <c r="H121" i="1" s="1"/>
  <c r="G122" i="1"/>
  <c r="H122" i="1" s="1"/>
  <c r="G123" i="1"/>
  <c r="H123" i="1" s="1"/>
  <c r="G124" i="1"/>
  <c r="H124" i="1" s="1"/>
  <c r="G125" i="1"/>
  <c r="H125" i="1" s="1"/>
  <c r="G126" i="1"/>
  <c r="H126" i="1" s="1"/>
  <c r="G127" i="1"/>
  <c r="H127" i="1" s="1"/>
  <c r="G128" i="1"/>
  <c r="H128" i="1" s="1"/>
  <c r="G129" i="1"/>
  <c r="H129" i="1" s="1"/>
  <c r="G130" i="1"/>
  <c r="H130" i="1" s="1"/>
  <c r="G131" i="1"/>
  <c r="H131" i="1" s="1"/>
  <c r="G132" i="1"/>
  <c r="H132" i="1" s="1"/>
  <c r="G133" i="1"/>
  <c r="H133" i="1" s="1"/>
  <c r="G134" i="1"/>
  <c r="H134" i="1" s="1"/>
  <c r="G135" i="1"/>
  <c r="H135" i="1" s="1"/>
  <c r="G136" i="1"/>
  <c r="H136" i="1" s="1"/>
  <c r="G137" i="1"/>
  <c r="H137" i="1" s="1"/>
  <c r="G138" i="1"/>
  <c r="H138" i="1" s="1"/>
  <c r="G139" i="1"/>
  <c r="H139" i="1" s="1"/>
  <c r="G140" i="1"/>
  <c r="H140" i="1" s="1"/>
  <c r="G141" i="1"/>
  <c r="H141" i="1" s="1"/>
  <c r="G142" i="1"/>
  <c r="H142" i="1" s="1"/>
  <c r="G143" i="1"/>
  <c r="H143" i="1" s="1"/>
  <c r="G144" i="1"/>
  <c r="H144" i="1" s="1"/>
  <c r="G145" i="1"/>
  <c r="H145" i="1" s="1"/>
  <c r="G146" i="1"/>
  <c r="H146" i="1" s="1"/>
  <c r="G147" i="1"/>
  <c r="H147" i="1" s="1"/>
  <c r="G148" i="1"/>
  <c r="H148" i="1" s="1"/>
  <c r="G149" i="1"/>
  <c r="H149" i="1" s="1"/>
  <c r="G150" i="1"/>
  <c r="H150" i="1" s="1"/>
  <c r="G151" i="1"/>
  <c r="H151" i="1" s="1"/>
</calcChain>
</file>

<file path=xl/sharedStrings.xml><?xml version="1.0" encoding="utf-8"?>
<sst xmlns="http://schemas.openxmlformats.org/spreadsheetml/2006/main" count="542" uniqueCount="126">
  <si>
    <t>Name</t>
  </si>
  <si>
    <t>Subject</t>
  </si>
  <si>
    <t>Total_Classes</t>
  </si>
  <si>
    <t>Attended_Classes</t>
  </si>
  <si>
    <t>Marks</t>
  </si>
  <si>
    <t>Student_1</t>
  </si>
  <si>
    <t>Maths</t>
  </si>
  <si>
    <t>DBMS</t>
  </si>
  <si>
    <t>Statistics</t>
  </si>
  <si>
    <t>Student_2</t>
  </si>
  <si>
    <t>Python</t>
  </si>
  <si>
    <t>Student_3</t>
  </si>
  <si>
    <t>DSA</t>
  </si>
  <si>
    <t>Student_4</t>
  </si>
  <si>
    <t>Student_5</t>
  </si>
  <si>
    <t>Student_6</t>
  </si>
  <si>
    <t>Student_7</t>
  </si>
  <si>
    <t>Student_8</t>
  </si>
  <si>
    <t>Student_9</t>
  </si>
  <si>
    <t>Student_10</t>
  </si>
  <si>
    <t>Student_11</t>
  </si>
  <si>
    <t>Student_12</t>
  </si>
  <si>
    <t>Student_13</t>
  </si>
  <si>
    <t>Student_14</t>
  </si>
  <si>
    <t>Student_15</t>
  </si>
  <si>
    <t>Student_16</t>
  </si>
  <si>
    <t>Student_17</t>
  </si>
  <si>
    <t>Student_18</t>
  </si>
  <si>
    <t>Student_19</t>
  </si>
  <si>
    <t>Student_20</t>
  </si>
  <si>
    <t>Student_21</t>
  </si>
  <si>
    <t>Student_22</t>
  </si>
  <si>
    <t>Student_23</t>
  </si>
  <si>
    <t>Student_24</t>
  </si>
  <si>
    <t>Student_25</t>
  </si>
  <si>
    <t>Student_26</t>
  </si>
  <si>
    <t>Student_27</t>
  </si>
  <si>
    <t>Student_28</t>
  </si>
  <si>
    <t>Student_29</t>
  </si>
  <si>
    <t>Student_30</t>
  </si>
  <si>
    <t>Student_31</t>
  </si>
  <si>
    <t>Student_32</t>
  </si>
  <si>
    <t>Student_33</t>
  </si>
  <si>
    <t>Student_34</t>
  </si>
  <si>
    <t>Student_35</t>
  </si>
  <si>
    <t>Student_36</t>
  </si>
  <si>
    <t>Student_37</t>
  </si>
  <si>
    <t>Student_38</t>
  </si>
  <si>
    <t>Student_39</t>
  </si>
  <si>
    <t>Student_40</t>
  </si>
  <si>
    <t>Student_41</t>
  </si>
  <si>
    <t>Student_42</t>
  </si>
  <si>
    <t>Student_43</t>
  </si>
  <si>
    <t>Student_44</t>
  </si>
  <si>
    <t>Student_45</t>
  </si>
  <si>
    <t>Student_46</t>
  </si>
  <si>
    <t>Student_47</t>
  </si>
  <si>
    <t>Student_48</t>
  </si>
  <si>
    <t>Student_49</t>
  </si>
  <si>
    <t>Student_50</t>
  </si>
  <si>
    <t>Branch</t>
  </si>
  <si>
    <t>Year</t>
  </si>
  <si>
    <t>S1001</t>
  </si>
  <si>
    <t>ME</t>
  </si>
  <si>
    <t>S1002</t>
  </si>
  <si>
    <t>CE</t>
  </si>
  <si>
    <t>S1003</t>
  </si>
  <si>
    <t>CSE</t>
  </si>
  <si>
    <t>S1004</t>
  </si>
  <si>
    <t>S1005</t>
  </si>
  <si>
    <t>S1006</t>
  </si>
  <si>
    <t>S1007</t>
  </si>
  <si>
    <t>S1008</t>
  </si>
  <si>
    <t>S1009</t>
  </si>
  <si>
    <t>S1010</t>
  </si>
  <si>
    <t>ECE</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</si>
  <si>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</si>
  <si>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</si>
  <si>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</si>
  <si>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</si>
  <si>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</si>
  <si>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</si>
  <si>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</si>
  <si>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</si>
  <si>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</si>
  <si>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</si>
  <si>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</si>
  <si>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</si>
  <si>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</si>
  <si>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</si>
  <si>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</si>
  <si>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</si>
  <si>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</si>
  <si>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</si>
  <si>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</si>
  <si>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</si>
  <si>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</si>
  <si>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</si>
  <si>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</si>
  <si>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</si>
  <si>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</si>
  <si>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</si>
  <si>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</si>
  <si>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</si>
  <si>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</si>
  <si>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</si>
  <si>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</si>
  <si>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</si>
  <si>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</si>
  <si>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</si>
  <si>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</si>
  <si>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</si>
  <si>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</si>
  <si>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</si>
  <si>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</si>
  <si>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</si>
  <si>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Attendance_%</t>
  </si>
  <si>
    <t>Eligible</t>
  </si>
  <si>
    <t>Student_ID</t>
  </si>
  <si>
    <t>Row Labels</t>
  </si>
  <si>
    <t>Grand Total</t>
  </si>
  <si>
    <t>Average of Attendance_%</t>
  </si>
  <si>
    <t>Max of Marks</t>
  </si>
  <si>
    <t>Not Eligible</t>
  </si>
  <si>
    <t>Count of Eligible</t>
  </si>
  <si>
    <t>Average of 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</si>
</sst>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0"/>
      <name val="Aptos Narrow"/>
      <family val="2"/>
      <scheme val="minor"/>
    </font>
    <font>
      <sz val="8"/>
      <name val="Aptos Narrow"/>
      <family val="2"/>
      <scheme val="minor"/>
    </font>
  </fonts>
  <fills count="4">
    <fill>
      <patternFill patternType="none"/>
    </fill>
    <fill>
      <patternFill patternType="gray125"/>
    </fill>
    <fill>
      <patternFill patternType="solid">
        <fgColor theme="0" tint="-0.14999847407452621"/>
        <bgColor theme="0" tint="-0.14999847407452621"/>
      </patternFill>
    </fill>
    <fill>
      <patternFill patternType="solid">
        <fgColor theme="6"/>
        <bgColor theme="6"/>
      </patternFill>
    </fill>
  </fills>
  <borders count="3">
    <border>
      <left/>
      <right/>
      <top/>
      <bottom/>
      <diagonal/>
    </border>
    <border>
      <left/>
      <right/>
      <top style="medium">
        <color theme="1"/>
      </top>
      <bottom style="medium">
        <color theme="1"/>
      </bottom>
      <diagonal/>
    </border>
    <border>
      <left/>
      <right/>
      <top/>
      <bottom style="medium">
        <color theme="1"/>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9" fontId="2" fillId="3" borderId="1" xfId="1" applyFont="1" applyFill="1" applyBorder="1"/>
    <xf numFmtId="9" fontId="0" fillId="0" borderId="0" xfId="1" applyFont="1"/>
    <xf numFmtId="9" fontId="0" fillId="2" borderId="0" xfId="1" applyFont="1" applyFill="1"/>
    <xf numFmtId="9" fontId="0" fillId="0" borderId="2" xfId="1" applyFont="1" applyBorder="1"/>
    <xf numFmtId="0" fontId="0" fillId="0" borderId="0" xfId="0" pivotButton="1"/>
    <xf numFmtId="0" fontId="0" fillId="0" borderId="0" xfId="0" applyAlignment="1">
      <alignment horizontal="left"/>
    </xf>
    <xf numFmtId="0" fontId="0" fillId="0" borderId="0" xfId="0" applyNumberFormat="1"/>
    <xf numFmtId="9" fontId="0" fillId="0" borderId="0" xfId="0" applyNumberFormat="1"/>
  </cellXfs>
  <cellStyles count="2">
    <cellStyle name="Normal" xfId="0" builtinId="0"/>
    <cellStyle name="Percent" xfId="1" builtinId="5"/>
  </cellStyles>
  <dxfs count="4">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[Excel_Attendance_Dashboard.xlsx]Analysis!PivotTable1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cat>
            <c:strRef>
              <c:f>Analysis!$A$2:$A$7</c:f>
              <c:strCache>
                <c:ptCount val="5"/>
                <c:pt idx="0">
                  <c:v>DBMS</c:v>
                </c:pt>
                <c:pt idx="1">
                  <c:v>DSA</c:v>
                </c:pt>
                <c:pt idx="2">
                  <c:v>Maths</c:v>
                </c:pt>
                <c:pt idx="3">
                  <c:v>Python</c:v>
                </c:pt>
                <c:pt idx="4">
                  <c:v>Statistics</c:v>
                </c:pt>
              </c:strCache>
            </c:strRef>
          </c:cat>
          <c:val>
            <c:numRef>
              <c:f>Analysis!$B$2:$B$7</c:f>
              <c:numCache>
                <c:formatCode>0%</c:formatCode>
                <c:ptCount val="5"/>
                <c:pt idx="0">
                  <c:v>0.75760615378254315</c:v>
                </c:pt>
                <c:pt idx="1">
                  <c:v>0.80369242364457572</c:v>
                </c:pt>
                <c:pt idx="2">
                  <c:v>0.79631340191572442</c:v>
                </c:pt>
                <c:pt idx="3">
                  <c:v>0.73747940498789466</c:v>
                </c:pt>
                <c:pt idx="4">
                  <c:v>0.77767592572153865</c:v>
                </c:pt>
              </c:numCache>
            </c:numRef>
          </c:val>
          <c:extLst>
            <c:ext xmlns:c16="http://schemas.microsoft.com/office/drawing/2014/chart" uri="{C3380CC4-5D6E-409C-BE32-E72D297353CC}">
              <c16:uniqueId val="{00000000-4192-42E1-9815-5D2BEAADA0FA}"/>
            </c:ext>
          </c:extLst>
        </c:ser>
        <c:dLbls>
          <c:showLegendKey val="0"/>
          <c:showVal val="0"/>
          <c:showCatName val="0"/>
          <c:showSerName val="0"/>
          <c:showPercent val="0"/>
          <c:showBubbleSize val="0"/>
        </c:dLbls>
        <c:gapWidth val="219"/>
        <c:overlap val="-27"/>
        <c:axId val="373079839"/>
        <c:axId val="373081279"/>
      </c:barChart>
      <c:catAx>
        <c:axId val="37307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081279"/>
        <c:crosses val="autoZero"/>
        <c:auto val="1"/>
        <c:lblAlgn val="ctr"/>
        <c:lblOffset val="100"/>
        <c:noMultiLvlLbl val="0"/>
      </c:catAx>
      <c:valAx>
        <c:axId val="37308127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07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[Excel_Attendance_Dashboard.xlsx]Analysis!PivotTable2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Analysis!$E$1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1B2-4A0C-96CF-3D2DA9B99D9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1B2-4A0C-96CF-3D2DA9B99D9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1B2-4A0C-96CF-3D2DA9B99D9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1B2-4A0C-96CF-3D2DA9B99D9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1B2-4A0C-96CF-3D2DA9B99D95}"/>
              </c:ext>
            </c:extLst>
          </c:dPt>
          <c:cat>
            <c:strRef>
              <c:f>Analysis!$D$2:$D$7</c:f>
              <c:strCache>
                <c:ptCount val="5"/>
                <c:pt idx="0">
                  <c:v>DBMS</c:v>
                </c:pt>
                <c:pt idx="1">
                  <c:v>DSA</c:v>
                </c:pt>
                <c:pt idx="2">
                  <c:v>Maths</c:v>
                </c:pt>
                <c:pt idx="3">
                  <c:v>Python</c:v>
                </c:pt>
                <c:pt idx="4">
                  <c:v>Statistics</c:v>
                </c:pt>
              </c:strCache>
            </c:strRef>
          </c:cat>
          <c:val>
            <c:numRef>
              <c:f>Analysis!$E$2:$E$7</c:f>
              <c:numCache>
                <c:formatCode>General</c:formatCode>
                <c:ptCount val="5"/>
                <c:pt idx="0">
                  <c:v>100</c:v>
                </c:pt>
                <c:pt idx="1">
                  <c:v>94</c:v>
                </c:pt>
                <c:pt idx="2">
                  <c:v>96</c:v>
                </c:pt>
                <c:pt idx="3">
                  <c:v>99</c:v>
                </c:pt>
                <c:pt idx="4">
                  <c:v>99</c:v>
                </c:pt>
              </c:numCache>
            </c:numRef>
          </c:val>
          <c:extLst>
            <c:ext xmlns:c16="http://schemas.microsoft.com/office/drawing/2014/chart" uri="{C3380CC4-5D6E-409C-BE32-E72D297353CC}">
              <c16:uniqueId val="{0000000A-01B2-4A0C-96CF-3D2DA9B99D9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[Excel_Attendance_Dashboard.xlsx]Analysis!PivotTable3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Analysis!$H$1</c:f>
              <c:strCache>
                <c:ptCount val="1"/>
                <c:pt idx="0">
                  <c:v>Total</c:v>
                </c:pt>
              </c:strCache>
            </c:strRef>
          </c:tx>
          <c:spPr>
            <a:solidFill>
              <a:schemeClr val="accent1"/>
            </a:solidFill>
            <a:ln>
              <a:noFill/>
            </a:ln>
            <a:effectLst/>
          </c:spPr>
          <c:invertIfNegative val="0"/>
          <c:cat>
            <c:strRef>
              <c:f>Analysis!$G$2:$G$4</c:f>
              <c:strCache>
                <c:ptCount val="2"/>
                <c:pt idx="0">
                  <c:v>Eligible</c:v>
                </c:pt>
                <c:pt idx="1">
                  <c:v>Not Eligible</c:v>
                </c:pt>
              </c:strCache>
            </c:strRef>
          </c:cat>
          <c:val>
            <c:numRef>
              <c:f>Analysis!$H$2:$H$4</c:f>
              <c:numCache>
                <c:formatCode>General</c:formatCode>
                <c:ptCount val="2"/>
                <c:pt idx="0">
                  <c:v>85</c:v>
                </c:pt>
                <c:pt idx="1">
                  <c:v>65</c:v>
                </c:pt>
              </c:numCache>
            </c:numRef>
          </c:val>
          <c:extLst>
            <c:ext xmlns:c16="http://schemas.microsoft.com/office/drawing/2014/chart" uri="{C3380CC4-5D6E-409C-BE32-E72D297353CC}">
              <c16:uniqueId val="{00000000-CBB3-4ADC-A9B5-985D3C3844D3}"/>
            </c:ext>
          </c:extLst>
        </c:ser>
        <c:dLbls>
          <c:showLegendKey val="0"/>
          <c:showVal val="0"/>
          <c:showCatName val="0"/>
          <c:showSerName val="0"/>
          <c:showPercent val="0"/>
          <c:showBubbleSize val="0"/>
        </c:dLbls>
        <c:gapWidth val="182"/>
        <c:axId val="1340352367"/>
        <c:axId val="1340349007"/>
      </c:barChart>
      <c:catAx>
        <c:axId val="1340352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49007"/>
        <c:crosses val="autoZero"/>
        <c:auto val="1"/>
        <c:lblAlgn val="ctr"/>
        <c:lblOffset val="100"/>
        <c:noMultiLvlLbl val="0"/>
      </c:catAx>
      <c:valAx>
        <c:axId val="13403490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5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[Excel_Attendance_Dashboard.xlsx]Analysis!PivotTable5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59560911075757"/>
          <c:y val="0.35210327628862625"/>
          <c:w val="0.58142597744411928"/>
          <c:h val="0.26276814619829958"/>
        </c:manualLayout>
      </c:layout>
      <c:lineChart>
        <c:grouping val="standard"/>
        <c:varyColors val="0"/>
        <c:ser>
          <c:idx val="0"/>
          <c:order val="0"/>
          <c:tx>
            <c:strRef>
              <c:f>Analysis!$H$7</c:f>
              <c:strCache>
                <c:ptCount val="1"/>
                <c:pt idx="0">
                  <c:v>Total</c:v>
                </c:pt>
              </c:strCache>
            </c:strRef>
          </c:tx>
          <c:spPr>
            <a:ln w="28575" cap="rnd">
              <a:solidFill>
                <a:schemeClr val="accent1"/>
              </a:solidFill>
              <a:round/>
            </a:ln>
            <a:effectLst/>
          </c:spPr>
          <c:marker>
            <c:symbol val="none"/>
          </c:marker>
          <c:cat>
            <c:strRef>
              <c:f>Analysis!$G$8:$G$13</c:f>
              <c:strCache>
                <c:ptCount val="5"/>
                <c:pt idx="0">
                  <c:v>0</c:v>
                </c:pt>
                <c:pt idx="1">
                  <c:v>CE</c:v>
                </c:pt>
                <c:pt idx="2">
                  <c:v>CSE</c:v>
                </c:pt>
                <c:pt idx="3">
                  <c:v>ECE</c:v>
                </c:pt>
                <c:pt idx="4">
                  <c:v>ME</c:v>
                </c:pt>
              </c:strCache>
            </c:strRef>
          </c:cat>
          <c:val>
            <c:numRef>
              <c:f>Analysis!$H$8:$H$13</c:f>
              <c:numCache>
                <c:formatCode>General</c:formatCode>
                <c:ptCount val="5"/>
                <c:pt idx="0">
                  <c:v>70.510000000000005</c:v>
                </c:pt>
                <c:pt idx="1">
                  <c:v>62.8125</c:v>
                </c:pt>
                <c:pt idx="2">
                  <c:v>76.545454545454547</c:v>
                </c:pt>
                <c:pt idx="3">
                  <c:v>59.272727272727273</c:v>
                </c:pt>
                <c:pt idx="4">
                  <c:v>65.75</c:v>
                </c:pt>
              </c:numCache>
            </c:numRef>
          </c:val>
          <c:smooth val="0"/>
          <c:extLst>
            <c:ext xmlns:c16="http://schemas.microsoft.com/office/drawing/2014/chart" uri="{C3380CC4-5D6E-409C-BE32-E72D297353CC}">
              <c16:uniqueId val="{00000000-9FA9-4C05-90A8-9FFBF3940D04}"/>
            </c:ext>
          </c:extLst>
        </c:ser>
        <c:dLbls>
          <c:showLegendKey val="0"/>
          <c:showVal val="0"/>
          <c:showCatName val="0"/>
          <c:showSerName val="0"/>
          <c:showPercent val="0"/>
          <c:showBubbleSize val="0"/>
        </c:dLbls>
        <c:smooth val="0"/>
        <c:axId val="1340354767"/>
        <c:axId val="1340355727"/>
      </c:lineChart>
      <c:catAx>
        <c:axId val="1340354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55727"/>
        <c:crosses val="autoZero"/>
        <c:auto val="1"/>
        <c:lblAlgn val="ctr"/>
        <c:lblOffset val="100"/>
        <c:noMultiLvlLbl val="0"/>
      </c:catAx>
      <c:valAx>
        <c:axId val="1340355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354767"/>
        <c:crosses val="autoZero"/>
        <c:crossBetween val="between"/>
      </c:valAx>
      <c:spPr>
        <a:noFill/>
        <a:ln>
          <a:noFill/>
        </a:ln>
        <a:effectLst/>
      </c:spPr>
    </c:plotArea>
    <c:legend>
      <c:legendPos val="r"/>
      <c:layout>
        <c:manualLayout>
          <c:xMode val="edge"/>
          <c:yMode val="edge"/>
          <c:x val="0.73387708391994644"/>
          <c:y val="0.76774006605176615"/>
          <c:w val="0.21750000261039262"/>
          <c:h val="0.130241026106506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238124</xdr:colOff>
      <xdr:row>0</xdr:row>
      <xdr:rowOff>0</xdr:rowOff>
    </xdr:from>
    <xdr:to>
      <xdr:col>6</xdr:col>
      <xdr:colOff>213700</xdr:colOff>
      <xdr:row>14</xdr:row>
      <xdr:rowOff>73269</xdr:rowOff>
    </xdr:to>
    <xdr:graphicFrame macro="">
      <xdr:nvGraphicFramePr>
        <xdr:cNvPr id="2" name="Chart 1">
          <a:extLst>
            <a:ext uri="{FF2B5EF4-FFF2-40B4-BE49-F238E27FC236}">
              <a16:creationId xmlns:a16="http://schemas.microsoft.com/office/drawing/2014/main" id="{F63CEC68-6E14-0659-FFBC-5CE5B7712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236660</xdr:colOff>
      <xdr:row>0</xdr:row>
      <xdr:rowOff>0</xdr:rowOff>
    </xdr:from>
    <xdr:to>
      <xdr:col>12</xdr:col>
      <xdr:colOff>42741</xdr:colOff>
      <xdr:row>14</xdr:row>
      <xdr:rowOff>73269</xdr:rowOff>
    </xdr:to>
    <xdr:graphicFrame macro="">
      <xdr:nvGraphicFramePr>
        <xdr:cNvPr id="4" name="Chart 3">
          <a:extLst>
            <a:ext uri="{FF2B5EF4-FFF2-40B4-BE49-F238E27FC236}">
              <a16:creationId xmlns:a16="http://schemas.microsoft.com/office/drawing/2014/main" id="{0197AF4D-8270-E874-2016-758C927F9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42741</xdr:colOff>
      <xdr:row>0</xdr:row>
      <xdr:rowOff>0</xdr:rowOff>
    </xdr:from>
    <xdr:to>
      <xdr:col>16</xdr:col>
      <xdr:colOff>42741</xdr:colOff>
      <xdr:row>7</xdr:row>
      <xdr:rowOff>116009</xdr:rowOff>
    </xdr:to>
    <xdr:graphicFrame macro="">
      <xdr:nvGraphicFramePr>
        <xdr:cNvPr id="5" name="Chart 4">
          <a:extLst>
            <a:ext uri="{FF2B5EF4-FFF2-40B4-BE49-F238E27FC236}">
              <a16:creationId xmlns:a16="http://schemas.microsoft.com/office/drawing/2014/main" id="{FA70AD92-5B4B-ECF4-18BB-274F29C9A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54952</xdr:colOff>
      <xdr:row>7</xdr:row>
      <xdr:rowOff>122115</xdr:rowOff>
    </xdr:from>
    <xdr:to>
      <xdr:col>16</xdr:col>
      <xdr:colOff>24424</xdr:colOff>
      <xdr:row>14</xdr:row>
      <xdr:rowOff>116010</xdr:rowOff>
    </xdr:to>
    <xdr:graphicFrame macro="">
      <xdr:nvGraphicFramePr>
        <xdr:cNvPr id="6" name="Chart 5">
          <a:extLst>
            <a:ext uri="{FF2B5EF4-FFF2-40B4-BE49-F238E27FC236}">
              <a16:creationId xmlns:a16="http://schemas.microsoft.com/office/drawing/2014/main" id="{874225E7-1394-084A-EFCF-C01FA411F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577362</xdr:colOff>
      <xdr:row>14</xdr:row>
      <xdr:rowOff>142631</xdr:rowOff>
    </xdr:from>
    <xdr:to>
      <xdr:col>12</xdr:col>
      <xdr:colOff>574431</xdr:colOff>
      <xdr:row>29</xdr:row>
      <xdr:rowOff>14407</xdr:rowOff>
    </xdr:to>
    <mc:AlternateContent xmlns:mc="http://schemas.openxmlformats.org/markup-compatibility/2006">
      <mc:Choice xmlns:a14="http://schemas.microsoft.com/office/drawing/2010/main" Requires="a14">
        <xdr:graphicFrame macro="">
          <xdr:nvGraphicFramePr>
            <xdr:cNvPr id="7" name="Subject">
              <a:extLst>
                <a:ext uri="{FF2B5EF4-FFF2-40B4-BE49-F238E27FC236}">
                  <a16:creationId xmlns:a16="http://schemas.microsoft.com/office/drawing/2014/main" id="{30199498-E060-2E5C-D722-00D8DAB9500F}"/>
                </a:ext>
              </a:extLst>
            </xdr:cNvPr>
            <xdr:cNvGraphicFramePr/>
          </xdr:nvGraphicFramePr>
          <xdr:xfrm>
            <a:off x="0" y="0"/>
            <a:ext cx="0" cy="0"/>
          </xdr:xfrm>
          <a:graphic>
            <a:graphicData uri="http://schemas.microsoft.com/office/drawing/2010/slicer">
              <sle:slicer xmlns:sle="http://schemas.microsoft.com/office/drawing/2010/slicer" name="Subject"/>
            </a:graphicData>
          </a:graphic>
        </xdr:graphicFrame>
      </mc:Choice>
      <mc:Fallback>
        <xdr:sp macro="" textlink="">
          <xdr:nvSpPr>
            <xdr:cNvPr id="0" name=""/>
            <xdr:cNvSpPr>
              <a:spLocks noTextEdit="1"/>
            </xdr:cNvSpPr>
          </xdr:nvSpPr>
          <xdr:spPr>
            <a:xfrm>
              <a:off x="6072554" y="2707054"/>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485775</xdr:colOff>
      <xdr:row>14</xdr:row>
      <xdr:rowOff>124314</xdr:rowOff>
    </xdr:from>
    <xdr:to>
      <xdr:col>9</xdr:col>
      <xdr:colOff>482845</xdr:colOff>
      <xdr:row>28</xdr:row>
      <xdr:rowOff>179263</xdr:rowOff>
    </xdr:to>
    <mc:AlternateContent xmlns:mc="http://schemas.openxmlformats.org/markup-compatibility/2006">
      <mc:Choice xmlns:a14="http://schemas.microsoft.com/office/drawing/2010/main" Requires="a14">
        <xdr:graphicFrame macro="">
          <xdr:nvGraphicFramePr>
            <xdr:cNvPr id="8" name="Branch">
              <a:extLst>
                <a:ext uri="{FF2B5EF4-FFF2-40B4-BE49-F238E27FC236}">
                  <a16:creationId xmlns:a16="http://schemas.microsoft.com/office/drawing/2014/main" id="{5DD8ABA0-8382-6AC4-2792-941A11527E27}"/>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4149237" y="2688737"/>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430823</xdr:colOff>
      <xdr:row>14</xdr:row>
      <xdr:rowOff>118208</xdr:rowOff>
    </xdr:from>
    <xdr:to>
      <xdr:col>6</xdr:col>
      <xdr:colOff>427892</xdr:colOff>
      <xdr:row>28</xdr:row>
      <xdr:rowOff>173157</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B0AFBEB8-A377-C1BE-C336-7259558E08F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262554" y="2682631"/>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makshi Pal" refreshedDate="46060.679922916665" createdVersion="8" refreshedVersion="8" minRefreshableVersion="3" recordCount="150" xr:uid="{B035C2A4-4B8D-4208-B0A5-D30B7787BD94}">
  <cacheSource type="worksheet">
    <worksheetSource name="Table1"/>
  </cacheSource>
  <cacheFields count="10">
    <cacheField name="Student_ID" numFmtId="0">
      <sharedItems containsBlank="1"/>
    </cacheField>
    <cacheField name="Name" numFmtId="0">
      <sharedItems/>
    </cacheField>
    <cacheField name="Subject" numFmtId="0">
      <sharedItems count="5">
        <s v="Maths"/>
        <s v="DBMS"/>
        <s v="Statistics"/>
        <s v="Python"/>
        <s v="DSA"/>
      </sharedItems>
    </cacheField>
    <cacheField name="Total_Classes" numFmtId="0">
      <sharedItems containsSemiMixedTypes="0" containsString="0" containsNumber="1" containsInteger="1" minValue="28" maxValue="44"/>
    </cacheField>
    <cacheField name="Attended_Classes" numFmtId="0">
      <sharedItems containsSemiMixedTypes="0" containsString="0" containsNumber="1" containsInteger="1" minValue="18" maxValue="44" count="25">
        <n v="31"/>
        <n v="32"/>
        <n v="40"/>
        <n v="35"/>
        <n v="26"/>
        <n v="30"/>
        <n v="25"/>
        <n v="36"/>
        <n v="20"/>
        <n v="19"/>
        <n v="18"/>
        <n v="27"/>
        <n v="21"/>
        <n v="29"/>
        <n v="23"/>
        <n v="34"/>
        <n v="44"/>
        <n v="22"/>
        <n v="33"/>
        <n v="28"/>
        <n v="42"/>
        <n v="37"/>
        <n v="24"/>
        <n v="38"/>
        <n v="39"/>
      </sharedItems>
    </cacheField>
    <cacheField name="Marks" numFmtId="0">
      <sharedItems containsSemiMixedTypes="0" containsString="0" containsNumber="1" containsInteger="1" minValue="40" maxValue="100"/>
    </cacheField>
    <cacheField name="Attendance_%" numFmtId="9">
      <sharedItems containsSemiMixedTypes="0" containsString="0" containsNumber="1" minValue="0.40909090909090912" maxValue="1"/>
    </cacheField>
    <cacheField name="Eligible" numFmtId="0">
      <sharedItems count="2">
        <s v="Eligible"/>
        <s v="Not Eligible"/>
      </sharedItems>
    </cacheField>
    <cacheField name="Branch" numFmtId="0">
      <sharedItems containsMixedTypes="1" containsNumber="1" containsInteger="1" minValue="0" maxValue="0" count="5">
        <s v="ME"/>
        <s v="CE"/>
        <s v="CSE"/>
        <s v="ECE"/>
        <n v="0"/>
      </sharedItems>
    </cacheField>
    <cacheField name="Year" numFmtId="0">
      <sharedItems containsSemiMixedTypes="0" containsString="0" containsNumber="1" containsInteger="1" minValue="0" maxValue="4" count="5">
        <n v="3"/>
        <n v="2"/>
        <n v="4"/>
        <n v="1"/>
        <n v="0"/>
      </sharedItems>
    </cacheField>
  </cacheFields>
  <extLst>
    <ext xmlns:x14="http://schemas.microsoft.com/office/spreadsheetml/2009/9/main" uri="{725AE2AE-9491-48be-B2B4-4EB974FC3084}">
      <x14:pivotCacheDefinition pivotCacheId="1863837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S1001"/>
    <s v="Student_1"/>
    <x v="0"/>
    <n v="31"/>
    <x v="0"/>
    <n v="70"/>
    <n v="1"/>
    <x v="0"/>
    <x v="0"/>
    <x v="0"/>
  </r>
  <r>
    <s v="S1002"/>
    <s v="Student_1"/>
    <x v="1"/>
    <n v="43"/>
    <x v="1"/>
    <n v="47"/>
    <n v="0.7441860465116279"/>
    <x v="1"/>
    <x v="1"/>
    <x v="1"/>
  </r>
  <r>
    <s v="S1003"/>
    <s v="Student_1"/>
    <x v="2"/>
    <n v="41"/>
    <x v="2"/>
    <n v="99"/>
    <n v="0.97560975609756095"/>
    <x v="0"/>
    <x v="2"/>
    <x v="0"/>
  </r>
  <r>
    <s v="S1004"/>
    <s v="Student_2"/>
    <x v="1"/>
    <n v="40"/>
    <x v="3"/>
    <n v="86"/>
    <n v="0.875"/>
    <x v="0"/>
    <x v="2"/>
    <x v="2"/>
  </r>
  <r>
    <s v="S1005"/>
    <s v="Student_2"/>
    <x v="2"/>
    <n v="40"/>
    <x v="4"/>
    <n v="68"/>
    <n v="0.65"/>
    <x v="1"/>
    <x v="0"/>
    <x v="0"/>
  </r>
  <r>
    <s v="S1006"/>
    <s v="Student_2"/>
    <x v="3"/>
    <n v="42"/>
    <x v="5"/>
    <n v="40"/>
    <n v="0.7142857142857143"/>
    <x v="1"/>
    <x v="1"/>
    <x v="2"/>
  </r>
  <r>
    <s v="S1007"/>
    <s v="Student_3"/>
    <x v="2"/>
    <n v="28"/>
    <x v="6"/>
    <n v="63"/>
    <n v="0.8928571428571429"/>
    <x v="0"/>
    <x v="2"/>
    <x v="2"/>
  </r>
  <r>
    <s v="S1008"/>
    <s v="Student_3"/>
    <x v="4"/>
    <n v="38"/>
    <x v="7"/>
    <n v="56"/>
    <n v="0.94736842105263153"/>
    <x v="0"/>
    <x v="2"/>
    <x v="3"/>
  </r>
  <r>
    <s v="S1009"/>
    <s v="Student_3"/>
    <x v="3"/>
    <n v="35"/>
    <x v="8"/>
    <n v="74"/>
    <n v="0.5714285714285714"/>
    <x v="1"/>
    <x v="0"/>
    <x v="0"/>
  </r>
  <r>
    <s v="S1010"/>
    <s v="Student_4"/>
    <x v="2"/>
    <n v="34"/>
    <x v="4"/>
    <n v="67"/>
    <n v="0.76470588235294112"/>
    <x v="0"/>
    <x v="3"/>
    <x v="3"/>
  </r>
  <r>
    <s v="S1011"/>
    <s v="Student_4"/>
    <x v="4"/>
    <n v="34"/>
    <x v="4"/>
    <n v="47"/>
    <n v="0.76470588235294112"/>
    <x v="0"/>
    <x v="0"/>
    <x v="0"/>
  </r>
  <r>
    <s v="S1012"/>
    <s v="Student_4"/>
    <x v="3"/>
    <n v="39"/>
    <x v="9"/>
    <n v="72"/>
    <n v="0.48717948717948717"/>
    <x v="1"/>
    <x v="0"/>
    <x v="0"/>
  </r>
  <r>
    <s v="S1013"/>
    <s v="Student_5"/>
    <x v="2"/>
    <n v="30"/>
    <x v="10"/>
    <n v="74"/>
    <n v="0.6"/>
    <x v="1"/>
    <x v="0"/>
    <x v="3"/>
  </r>
  <r>
    <s v="S1014"/>
    <s v="Student_5"/>
    <x v="0"/>
    <n v="32"/>
    <x v="1"/>
    <n v="53"/>
    <n v="1"/>
    <x v="0"/>
    <x v="0"/>
    <x v="3"/>
  </r>
  <r>
    <s v="S1015"/>
    <s v="Student_5"/>
    <x v="4"/>
    <n v="30"/>
    <x v="10"/>
    <n v="44"/>
    <n v="0.6"/>
    <x v="1"/>
    <x v="1"/>
    <x v="0"/>
  </r>
  <r>
    <s v="S1016"/>
    <s v="Student_6"/>
    <x v="0"/>
    <n v="34"/>
    <x v="4"/>
    <n v="54"/>
    <n v="0.76470588235294112"/>
    <x v="0"/>
    <x v="2"/>
    <x v="1"/>
  </r>
  <r>
    <s v="S1017"/>
    <s v="Student_6"/>
    <x v="3"/>
    <n v="42"/>
    <x v="11"/>
    <n v="99"/>
    <n v="0.6428571428571429"/>
    <x v="1"/>
    <x v="1"/>
    <x v="2"/>
  </r>
  <r>
    <s v="S1018"/>
    <s v="Student_6"/>
    <x v="2"/>
    <n v="40"/>
    <x v="7"/>
    <n v="71"/>
    <n v="0.9"/>
    <x v="0"/>
    <x v="1"/>
    <x v="3"/>
  </r>
  <r>
    <s v="S1019"/>
    <s v="Student_7"/>
    <x v="1"/>
    <n v="31"/>
    <x v="0"/>
    <n v="76"/>
    <n v="1"/>
    <x v="0"/>
    <x v="1"/>
    <x v="2"/>
  </r>
  <r>
    <s v="S1020"/>
    <s v="Student_7"/>
    <x v="4"/>
    <n v="34"/>
    <x v="5"/>
    <n v="54"/>
    <n v="0.88235294117647056"/>
    <x v="0"/>
    <x v="0"/>
    <x v="1"/>
  </r>
  <r>
    <s v="S1021"/>
    <s v="Student_7"/>
    <x v="3"/>
    <n v="38"/>
    <x v="12"/>
    <n v="52"/>
    <n v="0.55263157894736847"/>
    <x v="1"/>
    <x v="3"/>
    <x v="1"/>
  </r>
  <r>
    <s v="S1022"/>
    <s v="Student_8"/>
    <x v="0"/>
    <n v="29"/>
    <x v="11"/>
    <n v="84"/>
    <n v="0.93103448275862066"/>
    <x v="0"/>
    <x v="2"/>
    <x v="1"/>
  </r>
  <r>
    <s v="S1023"/>
    <s v="Student_8"/>
    <x v="2"/>
    <n v="33"/>
    <x v="13"/>
    <n v="67"/>
    <n v="0.87878787878787878"/>
    <x v="0"/>
    <x v="3"/>
    <x v="3"/>
  </r>
  <r>
    <s v="S1024"/>
    <s v="Student_8"/>
    <x v="4"/>
    <n v="39"/>
    <x v="13"/>
    <n v="59"/>
    <n v="0.74358974358974361"/>
    <x v="1"/>
    <x v="1"/>
    <x v="1"/>
  </r>
  <r>
    <s v="S1025"/>
    <s v="Student_9"/>
    <x v="3"/>
    <n v="34"/>
    <x v="10"/>
    <n v="40"/>
    <n v="0.52941176470588236"/>
    <x v="1"/>
    <x v="1"/>
    <x v="3"/>
  </r>
  <r>
    <s v="S1026"/>
    <s v="Student_9"/>
    <x v="0"/>
    <n v="40"/>
    <x v="4"/>
    <n v="42"/>
    <n v="0.65"/>
    <x v="1"/>
    <x v="3"/>
    <x v="1"/>
  </r>
  <r>
    <s v="S1027"/>
    <s v="Student_9"/>
    <x v="4"/>
    <n v="34"/>
    <x v="14"/>
    <n v="47"/>
    <n v="0.67647058823529416"/>
    <x v="1"/>
    <x v="3"/>
    <x v="2"/>
  </r>
  <r>
    <s v="S1028"/>
    <s v="Student_10"/>
    <x v="3"/>
    <n v="28"/>
    <x v="8"/>
    <n v="81"/>
    <n v="0.7142857142857143"/>
    <x v="1"/>
    <x v="3"/>
    <x v="2"/>
  </r>
  <r>
    <s v="S1029"/>
    <s v="Student_10"/>
    <x v="2"/>
    <n v="39"/>
    <x v="1"/>
    <n v="98"/>
    <n v="0.82051282051282048"/>
    <x v="0"/>
    <x v="1"/>
    <x v="0"/>
  </r>
  <r>
    <s v="S1030"/>
    <s v="Student_10"/>
    <x v="4"/>
    <n v="36"/>
    <x v="15"/>
    <n v="88"/>
    <n v="0.94444444444444442"/>
    <x v="0"/>
    <x v="1"/>
    <x v="2"/>
  </r>
  <r>
    <s v="S1031"/>
    <s v="Student_11"/>
    <x v="1"/>
    <n v="29"/>
    <x v="8"/>
    <n v="88"/>
    <n v="0.68965517241379315"/>
    <x v="1"/>
    <x v="2"/>
    <x v="0"/>
  </r>
  <r>
    <s v="S1032"/>
    <s v="Student_11"/>
    <x v="0"/>
    <n v="32"/>
    <x v="10"/>
    <n v="95"/>
    <n v="0.5625"/>
    <x v="1"/>
    <x v="2"/>
    <x v="2"/>
  </r>
  <r>
    <s v="S1033"/>
    <s v="Student_11"/>
    <x v="3"/>
    <n v="44"/>
    <x v="16"/>
    <n v="88"/>
    <n v="1"/>
    <x v="0"/>
    <x v="1"/>
    <x v="3"/>
  </r>
  <r>
    <s v="S1034"/>
    <s v="Student_12"/>
    <x v="1"/>
    <n v="32"/>
    <x v="10"/>
    <n v="40"/>
    <n v="0.5625"/>
    <x v="1"/>
    <x v="3"/>
    <x v="2"/>
  </r>
  <r>
    <s v="S1035"/>
    <s v="Student_12"/>
    <x v="0"/>
    <n v="29"/>
    <x v="17"/>
    <n v="83"/>
    <n v="0.75862068965517238"/>
    <x v="0"/>
    <x v="3"/>
    <x v="0"/>
  </r>
  <r>
    <s v="S1036"/>
    <s v="Student_12"/>
    <x v="2"/>
    <n v="33"/>
    <x v="18"/>
    <n v="94"/>
    <n v="1"/>
    <x v="0"/>
    <x v="2"/>
    <x v="0"/>
  </r>
  <r>
    <s v="S1037"/>
    <s v="Student_13"/>
    <x v="0"/>
    <n v="44"/>
    <x v="14"/>
    <n v="63"/>
    <n v="0.52272727272727271"/>
    <x v="1"/>
    <x v="1"/>
    <x v="1"/>
  </r>
  <r>
    <s v="S1038"/>
    <s v="Student_13"/>
    <x v="4"/>
    <n v="32"/>
    <x v="12"/>
    <n v="73"/>
    <n v="0.65625"/>
    <x v="1"/>
    <x v="2"/>
    <x v="3"/>
  </r>
  <r>
    <s v="S1039"/>
    <s v="Student_13"/>
    <x v="3"/>
    <n v="33"/>
    <x v="14"/>
    <n v="50"/>
    <n v="0.69696969696969702"/>
    <x v="1"/>
    <x v="2"/>
    <x v="2"/>
  </r>
  <r>
    <s v="S1040"/>
    <s v="Student_14"/>
    <x v="2"/>
    <n v="43"/>
    <x v="8"/>
    <n v="59"/>
    <n v="0.46511627906976744"/>
    <x v="1"/>
    <x v="0"/>
    <x v="1"/>
  </r>
  <r>
    <s v="S1041"/>
    <s v="Student_14"/>
    <x v="4"/>
    <n v="31"/>
    <x v="8"/>
    <n v="65"/>
    <n v="0.64516129032258063"/>
    <x v="1"/>
    <x v="0"/>
    <x v="2"/>
  </r>
  <r>
    <s v="S1042"/>
    <s v="Student_14"/>
    <x v="1"/>
    <n v="30"/>
    <x v="8"/>
    <n v="59"/>
    <n v="0.66666666666666663"/>
    <x v="1"/>
    <x v="0"/>
    <x v="2"/>
  </r>
  <r>
    <s v="S1043"/>
    <s v="Student_15"/>
    <x v="1"/>
    <n v="34"/>
    <x v="6"/>
    <n v="40"/>
    <n v="0.73529411764705888"/>
    <x v="1"/>
    <x v="3"/>
    <x v="1"/>
  </r>
  <r>
    <s v="S1044"/>
    <s v="Student_15"/>
    <x v="4"/>
    <n v="38"/>
    <x v="3"/>
    <n v="62"/>
    <n v="0.92105263157894735"/>
    <x v="0"/>
    <x v="1"/>
    <x v="1"/>
  </r>
  <r>
    <s v="S1045"/>
    <s v="Student_15"/>
    <x v="3"/>
    <n v="37"/>
    <x v="8"/>
    <n v="46"/>
    <n v="0.54054054054054057"/>
    <x v="1"/>
    <x v="1"/>
    <x v="1"/>
  </r>
  <r>
    <s v="S1046"/>
    <s v="Student_16"/>
    <x v="0"/>
    <n v="44"/>
    <x v="9"/>
    <n v="40"/>
    <n v="0.43181818181818182"/>
    <x v="1"/>
    <x v="1"/>
    <x v="1"/>
  </r>
  <r>
    <s v="S1047"/>
    <s v="Student_16"/>
    <x v="1"/>
    <n v="43"/>
    <x v="13"/>
    <n v="44"/>
    <n v="0.67441860465116277"/>
    <x v="1"/>
    <x v="1"/>
    <x v="1"/>
  </r>
  <r>
    <s v="S1048"/>
    <s v="Student_16"/>
    <x v="4"/>
    <n v="32"/>
    <x v="19"/>
    <n v="94"/>
    <n v="0.875"/>
    <x v="0"/>
    <x v="0"/>
    <x v="2"/>
  </r>
  <r>
    <s v="S1049"/>
    <s v="Student_17"/>
    <x v="4"/>
    <n v="43"/>
    <x v="18"/>
    <n v="42"/>
    <n v="0.76744186046511631"/>
    <x v="0"/>
    <x v="3"/>
    <x v="1"/>
  </r>
  <r>
    <s v="S1050"/>
    <s v="Student_17"/>
    <x v="2"/>
    <n v="28"/>
    <x v="6"/>
    <n v="91"/>
    <n v="0.8928571428571429"/>
    <x v="0"/>
    <x v="3"/>
    <x v="3"/>
  </r>
  <r>
    <m/>
    <s v="Student_17"/>
    <x v="1"/>
    <n v="38"/>
    <x v="15"/>
    <n v="47"/>
    <n v="0.89473684210526316"/>
    <x v="0"/>
    <x v="4"/>
    <x v="4"/>
  </r>
  <r>
    <m/>
    <s v="Student_18"/>
    <x v="1"/>
    <n v="43"/>
    <x v="20"/>
    <n v="74"/>
    <n v="0.97674418604651159"/>
    <x v="0"/>
    <x v="4"/>
    <x v="4"/>
  </r>
  <r>
    <m/>
    <s v="Student_18"/>
    <x v="0"/>
    <n v="41"/>
    <x v="3"/>
    <n v="41"/>
    <n v="0.85365853658536583"/>
    <x v="0"/>
    <x v="4"/>
    <x v="4"/>
  </r>
  <r>
    <m/>
    <s v="Student_18"/>
    <x v="3"/>
    <n v="30"/>
    <x v="5"/>
    <n v="80"/>
    <n v="1"/>
    <x v="0"/>
    <x v="4"/>
    <x v="4"/>
  </r>
  <r>
    <m/>
    <s v="Student_19"/>
    <x v="1"/>
    <n v="43"/>
    <x v="21"/>
    <n v="95"/>
    <n v="0.86046511627906974"/>
    <x v="0"/>
    <x v="4"/>
    <x v="4"/>
  </r>
  <r>
    <m/>
    <s v="Student_19"/>
    <x v="4"/>
    <n v="35"/>
    <x v="22"/>
    <n v="42"/>
    <n v="0.68571428571428572"/>
    <x v="1"/>
    <x v="4"/>
    <x v="4"/>
  </r>
  <r>
    <m/>
    <s v="Student_19"/>
    <x v="3"/>
    <n v="44"/>
    <x v="10"/>
    <n v="87"/>
    <n v="0.40909090909090912"/>
    <x v="1"/>
    <x v="4"/>
    <x v="4"/>
  </r>
  <r>
    <m/>
    <s v="Student_20"/>
    <x v="0"/>
    <n v="41"/>
    <x v="14"/>
    <n v="77"/>
    <n v="0.56097560975609762"/>
    <x v="1"/>
    <x v="4"/>
    <x v="4"/>
  </r>
  <r>
    <m/>
    <s v="Student_20"/>
    <x v="4"/>
    <n v="40"/>
    <x v="7"/>
    <n v="93"/>
    <n v="0.9"/>
    <x v="0"/>
    <x v="4"/>
    <x v="4"/>
  </r>
  <r>
    <m/>
    <s v="Student_20"/>
    <x v="3"/>
    <n v="35"/>
    <x v="9"/>
    <n v="60"/>
    <n v="0.54285714285714282"/>
    <x v="1"/>
    <x v="4"/>
    <x v="4"/>
  </r>
  <r>
    <m/>
    <s v="Student_21"/>
    <x v="3"/>
    <n v="28"/>
    <x v="17"/>
    <n v="99"/>
    <n v="0.7857142857142857"/>
    <x v="0"/>
    <x v="4"/>
    <x v="4"/>
  </r>
  <r>
    <m/>
    <s v="Student_21"/>
    <x v="4"/>
    <n v="43"/>
    <x v="7"/>
    <n v="43"/>
    <n v="0.83720930232558144"/>
    <x v="0"/>
    <x v="4"/>
    <x v="4"/>
  </r>
  <r>
    <m/>
    <s v="Student_21"/>
    <x v="1"/>
    <n v="30"/>
    <x v="10"/>
    <n v="56"/>
    <n v="0.6"/>
    <x v="1"/>
    <x v="4"/>
    <x v="4"/>
  </r>
  <r>
    <m/>
    <s v="Student_22"/>
    <x v="1"/>
    <n v="41"/>
    <x v="23"/>
    <n v="45"/>
    <n v="0.92682926829268297"/>
    <x v="0"/>
    <x v="4"/>
    <x v="4"/>
  </r>
  <r>
    <m/>
    <s v="Student_22"/>
    <x v="0"/>
    <n v="30"/>
    <x v="13"/>
    <n v="80"/>
    <n v="0.96666666666666667"/>
    <x v="0"/>
    <x v="4"/>
    <x v="4"/>
  </r>
  <r>
    <m/>
    <s v="Student_22"/>
    <x v="4"/>
    <n v="32"/>
    <x v="6"/>
    <n v="68"/>
    <n v="0.78125"/>
    <x v="0"/>
    <x v="4"/>
    <x v="4"/>
  </r>
  <r>
    <m/>
    <s v="Student_23"/>
    <x v="2"/>
    <n v="30"/>
    <x v="13"/>
    <n v="72"/>
    <n v="0.96666666666666667"/>
    <x v="0"/>
    <x v="4"/>
    <x v="4"/>
  </r>
  <r>
    <m/>
    <s v="Student_23"/>
    <x v="1"/>
    <n v="28"/>
    <x v="8"/>
    <n v="57"/>
    <n v="0.7142857142857143"/>
    <x v="1"/>
    <x v="4"/>
    <x v="4"/>
  </r>
  <r>
    <m/>
    <s v="Student_23"/>
    <x v="3"/>
    <n v="37"/>
    <x v="8"/>
    <n v="79"/>
    <n v="0.54054054054054057"/>
    <x v="1"/>
    <x v="4"/>
    <x v="4"/>
  </r>
  <r>
    <m/>
    <s v="Student_24"/>
    <x v="0"/>
    <n v="29"/>
    <x v="19"/>
    <n v="81"/>
    <n v="0.96551724137931039"/>
    <x v="0"/>
    <x v="4"/>
    <x v="4"/>
  </r>
  <r>
    <m/>
    <s v="Student_24"/>
    <x v="3"/>
    <n v="29"/>
    <x v="11"/>
    <n v="56"/>
    <n v="0.93103448275862066"/>
    <x v="0"/>
    <x v="4"/>
    <x v="4"/>
  </r>
  <r>
    <m/>
    <s v="Student_24"/>
    <x v="1"/>
    <n v="35"/>
    <x v="10"/>
    <n v="48"/>
    <n v="0.51428571428571423"/>
    <x v="1"/>
    <x v="4"/>
    <x v="4"/>
  </r>
  <r>
    <m/>
    <s v="Student_25"/>
    <x v="2"/>
    <n v="37"/>
    <x v="8"/>
    <n v="89"/>
    <n v="0.54054054054054057"/>
    <x v="1"/>
    <x v="4"/>
    <x v="4"/>
  </r>
  <r>
    <m/>
    <s v="Student_25"/>
    <x v="0"/>
    <n v="40"/>
    <x v="22"/>
    <n v="96"/>
    <n v="0.6"/>
    <x v="1"/>
    <x v="4"/>
    <x v="4"/>
  </r>
  <r>
    <m/>
    <s v="Student_25"/>
    <x v="3"/>
    <n v="31"/>
    <x v="5"/>
    <n v="59"/>
    <n v="0.967741935483871"/>
    <x v="0"/>
    <x v="4"/>
    <x v="4"/>
  </r>
  <r>
    <m/>
    <s v="Student_26"/>
    <x v="3"/>
    <n v="41"/>
    <x v="13"/>
    <n v="90"/>
    <n v="0.70731707317073167"/>
    <x v="1"/>
    <x v="4"/>
    <x v="4"/>
  </r>
  <r>
    <m/>
    <s v="Student_26"/>
    <x v="1"/>
    <n v="42"/>
    <x v="9"/>
    <n v="41"/>
    <n v="0.45238095238095238"/>
    <x v="1"/>
    <x v="4"/>
    <x v="4"/>
  </r>
  <r>
    <m/>
    <s v="Student_26"/>
    <x v="4"/>
    <n v="44"/>
    <x v="21"/>
    <n v="81"/>
    <n v="0.84090909090909094"/>
    <x v="0"/>
    <x v="4"/>
    <x v="4"/>
  </r>
  <r>
    <m/>
    <s v="Student_27"/>
    <x v="4"/>
    <n v="35"/>
    <x v="13"/>
    <n v="83"/>
    <n v="0.82857142857142863"/>
    <x v="0"/>
    <x v="4"/>
    <x v="4"/>
  </r>
  <r>
    <m/>
    <s v="Student_27"/>
    <x v="3"/>
    <n v="32"/>
    <x v="22"/>
    <n v="43"/>
    <n v="0.75"/>
    <x v="0"/>
    <x v="4"/>
    <x v="4"/>
  </r>
  <r>
    <m/>
    <s v="Student_27"/>
    <x v="0"/>
    <n v="33"/>
    <x v="5"/>
    <n v="71"/>
    <n v="0.90909090909090906"/>
    <x v="0"/>
    <x v="4"/>
    <x v="4"/>
  </r>
  <r>
    <m/>
    <s v="Student_28"/>
    <x v="3"/>
    <n v="35"/>
    <x v="18"/>
    <n v="52"/>
    <n v="0.94285714285714284"/>
    <x v="0"/>
    <x v="4"/>
    <x v="4"/>
  </r>
  <r>
    <m/>
    <s v="Student_28"/>
    <x v="0"/>
    <n v="37"/>
    <x v="7"/>
    <n v="56"/>
    <n v="0.97297297297297303"/>
    <x v="0"/>
    <x v="4"/>
    <x v="4"/>
  </r>
  <r>
    <m/>
    <s v="Student_28"/>
    <x v="1"/>
    <n v="32"/>
    <x v="11"/>
    <n v="92"/>
    <n v="0.84375"/>
    <x v="0"/>
    <x v="4"/>
    <x v="4"/>
  </r>
  <r>
    <m/>
    <s v="Student_29"/>
    <x v="4"/>
    <n v="28"/>
    <x v="9"/>
    <n v="71"/>
    <n v="0.6785714285714286"/>
    <x v="1"/>
    <x v="4"/>
    <x v="4"/>
  </r>
  <r>
    <m/>
    <s v="Student_29"/>
    <x v="1"/>
    <n v="43"/>
    <x v="20"/>
    <n v="79"/>
    <n v="0.97674418604651159"/>
    <x v="0"/>
    <x v="4"/>
    <x v="4"/>
  </r>
  <r>
    <m/>
    <s v="Student_29"/>
    <x v="3"/>
    <n v="40"/>
    <x v="23"/>
    <n v="40"/>
    <n v="0.95"/>
    <x v="0"/>
    <x v="4"/>
    <x v="4"/>
  </r>
  <r>
    <m/>
    <s v="Student_30"/>
    <x v="4"/>
    <n v="30"/>
    <x v="13"/>
    <n v="65"/>
    <n v="0.96666666666666667"/>
    <x v="0"/>
    <x v="4"/>
    <x v="4"/>
  </r>
  <r>
    <m/>
    <s v="Student_30"/>
    <x v="0"/>
    <n v="43"/>
    <x v="7"/>
    <n v="76"/>
    <n v="0.83720930232558144"/>
    <x v="0"/>
    <x v="4"/>
    <x v="4"/>
  </r>
  <r>
    <m/>
    <s v="Student_30"/>
    <x v="2"/>
    <n v="41"/>
    <x v="17"/>
    <n v="86"/>
    <n v="0.53658536585365857"/>
    <x v="1"/>
    <x v="4"/>
    <x v="4"/>
  </r>
  <r>
    <m/>
    <s v="Student_31"/>
    <x v="3"/>
    <n v="32"/>
    <x v="13"/>
    <n v="55"/>
    <n v="0.90625"/>
    <x v="0"/>
    <x v="4"/>
    <x v="4"/>
  </r>
  <r>
    <m/>
    <s v="Student_31"/>
    <x v="1"/>
    <n v="43"/>
    <x v="23"/>
    <n v="78"/>
    <n v="0.88372093023255816"/>
    <x v="0"/>
    <x v="4"/>
    <x v="4"/>
  </r>
  <r>
    <m/>
    <s v="Student_31"/>
    <x v="2"/>
    <n v="31"/>
    <x v="10"/>
    <n v="69"/>
    <n v="0.58064516129032262"/>
    <x v="1"/>
    <x v="4"/>
    <x v="4"/>
  </r>
  <r>
    <m/>
    <s v="Student_32"/>
    <x v="0"/>
    <n v="32"/>
    <x v="12"/>
    <n v="73"/>
    <n v="0.65625"/>
    <x v="1"/>
    <x v="4"/>
    <x v="4"/>
  </r>
  <r>
    <m/>
    <s v="Student_32"/>
    <x v="2"/>
    <n v="37"/>
    <x v="7"/>
    <n v="97"/>
    <n v="0.97297297297297303"/>
    <x v="0"/>
    <x v="4"/>
    <x v="4"/>
  </r>
  <r>
    <m/>
    <s v="Student_32"/>
    <x v="4"/>
    <n v="28"/>
    <x v="6"/>
    <n v="44"/>
    <n v="0.8928571428571429"/>
    <x v="0"/>
    <x v="4"/>
    <x v="4"/>
  </r>
  <r>
    <m/>
    <s v="Student_33"/>
    <x v="0"/>
    <n v="44"/>
    <x v="16"/>
    <n v="59"/>
    <n v="1"/>
    <x v="0"/>
    <x v="4"/>
    <x v="4"/>
  </r>
  <r>
    <m/>
    <s v="Student_33"/>
    <x v="4"/>
    <n v="39"/>
    <x v="3"/>
    <n v="74"/>
    <n v="0.89743589743589747"/>
    <x v="0"/>
    <x v="4"/>
    <x v="4"/>
  </r>
  <r>
    <m/>
    <s v="Student_33"/>
    <x v="1"/>
    <n v="28"/>
    <x v="10"/>
    <n v="100"/>
    <n v="0.6428571428571429"/>
    <x v="1"/>
    <x v="4"/>
    <x v="4"/>
  </r>
  <r>
    <m/>
    <s v="Student_34"/>
    <x v="2"/>
    <n v="30"/>
    <x v="10"/>
    <n v="72"/>
    <n v="0.6"/>
    <x v="1"/>
    <x v="4"/>
    <x v="4"/>
  </r>
  <r>
    <m/>
    <s v="Student_34"/>
    <x v="4"/>
    <n v="35"/>
    <x v="11"/>
    <n v="82"/>
    <n v="0.77142857142857146"/>
    <x v="0"/>
    <x v="4"/>
    <x v="4"/>
  </r>
  <r>
    <m/>
    <s v="Student_34"/>
    <x v="0"/>
    <n v="39"/>
    <x v="5"/>
    <n v="51"/>
    <n v="0.76923076923076927"/>
    <x v="0"/>
    <x v="4"/>
    <x v="4"/>
  </r>
  <r>
    <m/>
    <s v="Student_35"/>
    <x v="2"/>
    <n v="30"/>
    <x v="22"/>
    <n v="56"/>
    <n v="0.8"/>
    <x v="0"/>
    <x v="4"/>
    <x v="4"/>
  </r>
  <r>
    <m/>
    <s v="Student_35"/>
    <x v="3"/>
    <n v="35"/>
    <x v="11"/>
    <n v="65"/>
    <n v="0.77142857142857146"/>
    <x v="0"/>
    <x v="4"/>
    <x v="4"/>
  </r>
  <r>
    <m/>
    <s v="Student_35"/>
    <x v="1"/>
    <n v="29"/>
    <x v="8"/>
    <n v="80"/>
    <n v="0.68965517241379315"/>
    <x v="1"/>
    <x v="4"/>
    <x v="4"/>
  </r>
  <r>
    <m/>
    <s v="Student_36"/>
    <x v="1"/>
    <n v="40"/>
    <x v="19"/>
    <n v="68"/>
    <n v="0.7"/>
    <x v="1"/>
    <x v="4"/>
    <x v="4"/>
  </r>
  <r>
    <m/>
    <s v="Student_36"/>
    <x v="3"/>
    <n v="31"/>
    <x v="4"/>
    <n v="60"/>
    <n v="0.83870967741935487"/>
    <x v="0"/>
    <x v="4"/>
    <x v="4"/>
  </r>
  <r>
    <m/>
    <s v="Student_36"/>
    <x v="0"/>
    <n v="31"/>
    <x v="11"/>
    <n v="76"/>
    <n v="0.87096774193548387"/>
    <x v="0"/>
    <x v="4"/>
    <x v="4"/>
  </r>
  <r>
    <m/>
    <s v="Student_37"/>
    <x v="4"/>
    <n v="30"/>
    <x v="12"/>
    <n v="57"/>
    <n v="0.7"/>
    <x v="1"/>
    <x v="4"/>
    <x v="4"/>
  </r>
  <r>
    <m/>
    <s v="Student_37"/>
    <x v="3"/>
    <n v="44"/>
    <x v="22"/>
    <n v="71"/>
    <n v="0.54545454545454541"/>
    <x v="1"/>
    <x v="4"/>
    <x v="4"/>
  </r>
  <r>
    <m/>
    <s v="Student_37"/>
    <x v="1"/>
    <n v="32"/>
    <x v="13"/>
    <n v="88"/>
    <n v="0.90625"/>
    <x v="0"/>
    <x v="4"/>
    <x v="4"/>
  </r>
  <r>
    <m/>
    <s v="Student_38"/>
    <x v="4"/>
    <n v="36"/>
    <x v="15"/>
    <n v="88"/>
    <n v="0.94444444444444442"/>
    <x v="0"/>
    <x v="4"/>
    <x v="4"/>
  </r>
  <r>
    <m/>
    <s v="Student_38"/>
    <x v="2"/>
    <n v="43"/>
    <x v="20"/>
    <n v="61"/>
    <n v="0.97674418604651159"/>
    <x v="0"/>
    <x v="4"/>
    <x v="4"/>
  </r>
  <r>
    <m/>
    <s v="Student_38"/>
    <x v="0"/>
    <n v="40"/>
    <x v="7"/>
    <n v="88"/>
    <n v="0.9"/>
    <x v="0"/>
    <x v="4"/>
    <x v="4"/>
  </r>
  <r>
    <m/>
    <s v="Student_39"/>
    <x v="4"/>
    <n v="39"/>
    <x v="4"/>
    <n v="46"/>
    <n v="0.66666666666666663"/>
    <x v="1"/>
    <x v="4"/>
    <x v="4"/>
  </r>
  <r>
    <m/>
    <s v="Student_39"/>
    <x v="1"/>
    <n v="41"/>
    <x v="21"/>
    <n v="58"/>
    <n v="0.90243902439024393"/>
    <x v="0"/>
    <x v="4"/>
    <x v="4"/>
  </r>
  <r>
    <m/>
    <s v="Student_39"/>
    <x v="0"/>
    <n v="42"/>
    <x v="18"/>
    <n v="92"/>
    <n v="0.7857142857142857"/>
    <x v="0"/>
    <x v="4"/>
    <x v="4"/>
  </r>
  <r>
    <m/>
    <s v="Student_40"/>
    <x v="2"/>
    <n v="31"/>
    <x v="17"/>
    <n v="62"/>
    <n v="0.70967741935483875"/>
    <x v="1"/>
    <x v="4"/>
    <x v="4"/>
  </r>
  <r>
    <m/>
    <s v="Student_40"/>
    <x v="4"/>
    <n v="43"/>
    <x v="20"/>
    <n v="78"/>
    <n v="0.97674418604651159"/>
    <x v="0"/>
    <x v="4"/>
    <x v="4"/>
  </r>
  <r>
    <m/>
    <s v="Student_40"/>
    <x v="0"/>
    <n v="40"/>
    <x v="23"/>
    <n v="81"/>
    <n v="0.95"/>
    <x v="0"/>
    <x v="4"/>
    <x v="4"/>
  </r>
  <r>
    <m/>
    <s v="Student_41"/>
    <x v="2"/>
    <n v="32"/>
    <x v="8"/>
    <n v="62"/>
    <n v="0.625"/>
    <x v="1"/>
    <x v="4"/>
    <x v="4"/>
  </r>
  <r>
    <m/>
    <s v="Student_41"/>
    <x v="0"/>
    <n v="38"/>
    <x v="19"/>
    <n v="57"/>
    <n v="0.73684210526315785"/>
    <x v="1"/>
    <x v="4"/>
    <x v="4"/>
  </r>
  <r>
    <m/>
    <s v="Student_41"/>
    <x v="3"/>
    <n v="42"/>
    <x v="13"/>
    <n v="48"/>
    <n v="0.69047619047619047"/>
    <x v="1"/>
    <x v="4"/>
    <x v="4"/>
  </r>
  <r>
    <m/>
    <s v="Student_42"/>
    <x v="2"/>
    <n v="33"/>
    <x v="22"/>
    <n v="85"/>
    <n v="0.72727272727272729"/>
    <x v="1"/>
    <x v="4"/>
    <x v="4"/>
  </r>
  <r>
    <m/>
    <s v="Student_42"/>
    <x v="1"/>
    <n v="40"/>
    <x v="6"/>
    <n v="81"/>
    <n v="0.625"/>
    <x v="1"/>
    <x v="4"/>
    <x v="4"/>
  </r>
  <r>
    <m/>
    <s v="Student_42"/>
    <x v="0"/>
    <n v="36"/>
    <x v="3"/>
    <n v="66"/>
    <n v="0.97222222222222221"/>
    <x v="0"/>
    <x v="4"/>
    <x v="4"/>
  </r>
  <r>
    <m/>
    <s v="Student_43"/>
    <x v="2"/>
    <n v="32"/>
    <x v="14"/>
    <n v="58"/>
    <n v="0.71875"/>
    <x v="1"/>
    <x v="4"/>
    <x v="4"/>
  </r>
  <r>
    <m/>
    <s v="Student_43"/>
    <x v="1"/>
    <n v="35"/>
    <x v="18"/>
    <n v="84"/>
    <n v="0.94285714285714284"/>
    <x v="0"/>
    <x v="4"/>
    <x v="4"/>
  </r>
  <r>
    <m/>
    <s v="Student_43"/>
    <x v="0"/>
    <n v="28"/>
    <x v="14"/>
    <n v="91"/>
    <n v="0.8214285714285714"/>
    <x v="0"/>
    <x v="4"/>
    <x v="4"/>
  </r>
  <r>
    <m/>
    <s v="Student_44"/>
    <x v="4"/>
    <n v="40"/>
    <x v="12"/>
    <n v="75"/>
    <n v="0.52500000000000002"/>
    <x v="1"/>
    <x v="4"/>
    <x v="4"/>
  </r>
  <r>
    <m/>
    <s v="Student_44"/>
    <x v="3"/>
    <n v="33"/>
    <x v="13"/>
    <n v="70"/>
    <n v="0.87878787878787878"/>
    <x v="0"/>
    <x v="4"/>
    <x v="4"/>
  </r>
  <r>
    <m/>
    <s v="Student_44"/>
    <x v="2"/>
    <n v="39"/>
    <x v="24"/>
    <n v="78"/>
    <n v="1"/>
    <x v="0"/>
    <x v="4"/>
    <x v="4"/>
  </r>
  <r>
    <m/>
    <s v="Student_45"/>
    <x v="3"/>
    <n v="34"/>
    <x v="8"/>
    <n v="84"/>
    <n v="0.58823529411764708"/>
    <x v="1"/>
    <x v="4"/>
    <x v="4"/>
  </r>
  <r>
    <m/>
    <s v="Student_45"/>
    <x v="0"/>
    <n v="40"/>
    <x v="3"/>
    <n v="67"/>
    <n v="0.875"/>
    <x v="0"/>
    <x v="4"/>
    <x v="4"/>
  </r>
  <r>
    <m/>
    <s v="Student_45"/>
    <x v="2"/>
    <n v="35"/>
    <x v="4"/>
    <n v="78"/>
    <n v="0.74285714285714288"/>
    <x v="1"/>
    <x v="4"/>
    <x v="4"/>
  </r>
  <r>
    <m/>
    <s v="Student_46"/>
    <x v="2"/>
    <n v="44"/>
    <x v="20"/>
    <n v="95"/>
    <n v="0.95454545454545459"/>
    <x v="0"/>
    <x v="4"/>
    <x v="4"/>
  </r>
  <r>
    <m/>
    <s v="Student_46"/>
    <x v="4"/>
    <n v="28"/>
    <x v="14"/>
    <n v="92"/>
    <n v="0.8214285714285714"/>
    <x v="0"/>
    <x v="4"/>
    <x v="4"/>
  </r>
  <r>
    <m/>
    <s v="Student_46"/>
    <x v="3"/>
    <n v="33"/>
    <x v="11"/>
    <n v="83"/>
    <n v="0.81818181818181823"/>
    <x v="0"/>
    <x v="4"/>
    <x v="4"/>
  </r>
  <r>
    <m/>
    <s v="Student_47"/>
    <x v="4"/>
    <n v="42"/>
    <x v="23"/>
    <n v="55"/>
    <n v="0.90476190476190477"/>
    <x v="0"/>
    <x v="4"/>
    <x v="4"/>
  </r>
  <r>
    <m/>
    <s v="Student_47"/>
    <x v="1"/>
    <n v="38"/>
    <x v="17"/>
    <n v="75"/>
    <n v="0.57894736842105265"/>
    <x v="1"/>
    <x v="4"/>
    <x v="4"/>
  </r>
  <r>
    <m/>
    <s v="Student_47"/>
    <x v="0"/>
    <n v="30"/>
    <x v="8"/>
    <n v="59"/>
    <n v="0.66666666666666663"/>
    <x v="1"/>
    <x v="4"/>
    <x v="4"/>
  </r>
  <r>
    <m/>
    <s v="Student_48"/>
    <x v="2"/>
    <n v="44"/>
    <x v="0"/>
    <n v="54"/>
    <n v="0.70454545454545459"/>
    <x v="1"/>
    <x v="4"/>
    <x v="4"/>
  </r>
  <r>
    <m/>
    <s v="Student_48"/>
    <x v="3"/>
    <n v="28"/>
    <x v="17"/>
    <n v="93"/>
    <n v="0.7857142857142857"/>
    <x v="0"/>
    <x v="4"/>
    <x v="4"/>
  </r>
  <r>
    <m/>
    <s v="Student_48"/>
    <x v="1"/>
    <n v="30"/>
    <x v="22"/>
    <n v="96"/>
    <n v="0.8"/>
    <x v="0"/>
    <x v="4"/>
    <x v="4"/>
  </r>
  <r>
    <m/>
    <s v="Student_49"/>
    <x v="0"/>
    <n v="43"/>
    <x v="6"/>
    <n v="77"/>
    <n v="0.58139534883720934"/>
    <x v="1"/>
    <x v="4"/>
    <x v="4"/>
  </r>
  <r>
    <m/>
    <s v="Student_49"/>
    <x v="3"/>
    <n v="39"/>
    <x v="23"/>
    <n v="47"/>
    <n v="0.97435897435897434"/>
    <x v="0"/>
    <x v="4"/>
    <x v="4"/>
  </r>
  <r>
    <m/>
    <s v="Student_49"/>
    <x v="4"/>
    <n v="31"/>
    <x v="11"/>
    <n v="47"/>
    <n v="0.87096774193548387"/>
    <x v="0"/>
    <x v="4"/>
    <x v="4"/>
  </r>
  <r>
    <m/>
    <s v="Student_50"/>
    <x v="0"/>
    <n v="32"/>
    <x v="4"/>
    <n v="75"/>
    <n v="0.8125"/>
    <x v="0"/>
    <x v="4"/>
    <x v="4"/>
  </r>
  <r>
    <m/>
    <s v="Student_50"/>
    <x v="1"/>
    <n v="44"/>
    <x v="4"/>
    <n v="72"/>
    <n v="0.59090909090909094"/>
    <x v="1"/>
    <x v="4"/>
    <x v="4"/>
  </r>
  <r>
    <m/>
    <s v="Student_50"/>
    <x v="3"/>
    <n v="40"/>
    <x v="18"/>
    <n v="68"/>
    <n v="0.82499999999999996"/>
    <x v="0"/>
    <x v="4"/>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D6FB19-8577-49D1-9363-0F0BB2A72386}"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7:H13" firstHeaderRow="1" firstDataRow="1" firstDataCol="1"/>
  <pivotFields count="10">
    <pivotField showAll="0"/>
    <pivotField showAll="0"/>
    <pivotField showAll="0"/>
    <pivotField showAll="0"/>
    <pivotField showAll="0"/>
    <pivotField dataField="1" showAll="0"/>
    <pivotField numFmtId="9" showAll="0"/>
    <pivotField showAll="0"/>
    <pivotField axis="axisRow" showAll="0">
      <items count="6">
        <item x="4"/>
        <item x="1"/>
        <item x="2"/>
        <item x="3"/>
        <item x="0"/>
        <item t="default"/>
      </items>
    </pivotField>
    <pivotField showAll="0"/>
  </pivotFields>
  <rowFields count="1">
    <field x="8"/>
  </rowFields>
  <rowItems count="6">
    <i>
      <x/>
    </i>
    <i>
      <x v="1"/>
    </i>
    <i>
      <x v="2"/>
    </i>
    <i>
      <x v="3"/>
    </i>
    <i>
      <x v="4"/>
    </i>
    <i t="grand">
      <x/>
    </i>
  </rowItems>
  <colItems count="1">
    <i/>
  </colItems>
  <dataFields count="1">
    <dataField name="Average of Marks" fld="5" subtotal="average" baseField="8"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63685E-7FC5-4D28-88CD-9C584245113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1:H4" firstHeaderRow="1" firstDataRow="1" firstDataCol="1"/>
  <pivotFields count="10">
    <pivotField showAll="0"/>
    <pivotField showAll="0"/>
    <pivotField showAll="0"/>
    <pivotField showAll="0"/>
    <pivotField showAll="0"/>
    <pivotField showAll="0"/>
    <pivotField numFmtId="9" showAll="0"/>
    <pivotField axis="axisRow" dataField="1" showAll="0">
      <items count="3">
        <item x="0"/>
        <item x="1"/>
        <item t="default"/>
      </items>
    </pivotField>
    <pivotField showAll="0"/>
    <pivotField showAll="0"/>
  </pivotFields>
  <rowFields count="1">
    <field x="7"/>
  </rowFields>
  <rowItems count="3">
    <i>
      <x/>
    </i>
    <i>
      <x v="1"/>
    </i>
    <i t="grand">
      <x/>
    </i>
  </rowItems>
  <colItems count="1">
    <i/>
  </colItems>
  <dataFields count="1">
    <dataField name="Count of Eligible" fld="7" subtotal="count" baseField="7"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9A26D1-9721-4C51-A763-AB15CA8AD900}"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E7" firstHeaderRow="1" firstDataRow="1" firstDataCol="1"/>
  <pivotFields count="10">
    <pivotField showAll="0"/>
    <pivotField showAll="0"/>
    <pivotField axis="axisRow" showAll="0">
      <items count="6">
        <item x="1"/>
        <item x="4"/>
        <item x="0"/>
        <item x="3"/>
        <item x="2"/>
        <item t="default"/>
      </items>
    </pivotField>
    <pivotField showAll="0"/>
    <pivotField showAll="0"/>
    <pivotField dataField="1" showAll="0"/>
    <pivotField numFmtId="9" showAll="0"/>
    <pivotField showAll="0"/>
    <pivotField showAll="0">
      <items count="6">
        <item x="4"/>
        <item x="1"/>
        <item x="2"/>
        <item x="3"/>
        <item x="0"/>
        <item t="default"/>
      </items>
    </pivotField>
    <pivotField showAll="0">
      <items count="6">
        <item x="4"/>
        <item x="3"/>
        <item x="1"/>
        <item x="0"/>
        <item x="2"/>
        <item t="default"/>
      </items>
    </pivotField>
  </pivotFields>
  <rowFields count="1">
    <field x="2"/>
  </rowFields>
  <rowItems count="6">
    <i>
      <x/>
    </i>
    <i>
      <x v="1"/>
    </i>
    <i>
      <x v="2"/>
    </i>
    <i>
      <x v="3"/>
    </i>
    <i>
      <x v="4"/>
    </i>
    <i t="grand">
      <x/>
    </i>
  </rowItems>
  <colItems count="1">
    <i/>
  </colItems>
  <dataFields count="1">
    <dataField name="Max of Marks" fld="5" subtotal="max" baseField="2" baseItem="0"/>
  </dataFields>
  <chartFormats count="6">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4" format="3">
      <pivotArea type="data" outline="0" fieldPosition="0">
        <references count="2">
          <reference field="4294967294" count="1" selected="0">
            <x v="0"/>
          </reference>
          <reference field="2" count="1" selected="0">
            <x v="1"/>
          </reference>
        </references>
      </pivotArea>
    </chartFormat>
    <chartFormat chart="4" format="4">
      <pivotArea type="data" outline="0" fieldPosition="0">
        <references count="2">
          <reference field="4294967294" count="1" selected="0">
            <x v="0"/>
          </reference>
          <reference field="2" count="1" selected="0">
            <x v="2"/>
          </reference>
        </references>
      </pivotArea>
    </chartFormat>
    <chartFormat chart="4" format="5">
      <pivotArea type="data" outline="0" fieldPosition="0">
        <references count="2">
          <reference field="4294967294" count="1" selected="0">
            <x v="0"/>
          </reference>
          <reference field="2" count="1" selected="0">
            <x v="3"/>
          </reference>
        </references>
      </pivotArea>
    </chartFormat>
    <chartFormat chart="4" format="6">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6E5503-29E0-4BB1-AD42-1F622E87EAA4}"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7" firstHeaderRow="1" firstDataRow="1" firstDataCol="1"/>
  <pivotFields count="10">
    <pivotField showAll="0"/>
    <pivotField showAll="0"/>
    <pivotField axis="axisRow" showAll="0">
      <items count="6">
        <item x="1"/>
        <item x="4"/>
        <item x="0"/>
        <item x="3"/>
        <item x="2"/>
        <item t="default"/>
      </items>
    </pivotField>
    <pivotField showAll="0"/>
    <pivotField showAll="0">
      <items count="26">
        <item x="10"/>
        <item x="9"/>
        <item x="8"/>
        <item x="12"/>
        <item x="17"/>
        <item x="14"/>
        <item x="22"/>
        <item x="6"/>
        <item x="4"/>
        <item x="11"/>
        <item x="19"/>
        <item x="13"/>
        <item x="5"/>
        <item x="0"/>
        <item x="1"/>
        <item x="18"/>
        <item x="15"/>
        <item x="3"/>
        <item x="7"/>
        <item x="21"/>
        <item x="23"/>
        <item x="24"/>
        <item x="2"/>
        <item x="20"/>
        <item x="16"/>
        <item t="default"/>
      </items>
    </pivotField>
    <pivotField showAll="0"/>
    <pivotField dataField="1" numFmtId="9" showAll="0"/>
    <pivotField showAll="0"/>
    <pivotField showAll="0"/>
    <pivotField showAll="0"/>
  </pivotFields>
  <rowFields count="1">
    <field x="2"/>
  </rowFields>
  <rowItems count="6">
    <i>
      <x/>
    </i>
    <i>
      <x v="1"/>
    </i>
    <i>
      <x v="2"/>
    </i>
    <i>
      <x v="3"/>
    </i>
    <i>
      <x v="4"/>
    </i>
    <i t="grand">
      <x/>
    </i>
  </rowItems>
  <colItems count="1">
    <i/>
  </colItems>
  <dataFields count="1">
    <dataField name="Average of Attendance_%" fld="6" subtotal="average" baseField="2" baseItem="0" numFmtId="9"/>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ject" xr10:uid="{8ADE6908-DFAF-48FD-A37F-5EA8ABDBAFAE}" sourceName="Subject">
  <pivotTables>
    <pivotTable tabId="3" name="PivotTable2"/>
  </pivotTables>
  <data>
    <tabular pivotCacheId="1863837359">
      <items count="5">
        <i x="1" s="1"/>
        <i x="4"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BD3E13A-97FB-420E-AF9D-96E056CCB30C}" sourceName="Branch">
  <pivotTables>
    <pivotTable tabId="3" name="PivotTable2"/>
  </pivotTables>
  <data>
    <tabular pivotCacheId="1863837359">
      <items count="5">
        <i x="4" s="1"/>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63C7AB4-CA6C-4096-A4A0-A4960232DA0E}" sourceName="Year">
  <pivotTables>
    <pivotTable tabId="3" name="PivotTable2"/>
  </pivotTables>
  <data>
    <tabular pivotCacheId="1863837359">
      <items count="5">
        <i x="4" s="1"/>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ject" xr10:uid="{FB4FBC6E-FF9B-48AC-AFC8-6DFA0A5B96B7}" cache="Slicer_Subject" caption="Subject" rowHeight="251883"/>
  <slicer name="Branch" xr10:uid="{38EC1E57-F4AD-46F0-BA5A-8D8B0269AE47}" cache="Slicer_Branch" caption="Branch" rowHeight="251883"/>
  <slicer name="Year" xr10:uid="{B8CB5339-9135-4068-8782-D8029670FA37}" cache="Slicer_Year" caption="Year"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2B0FB3-CF4B-44DE-934B-D19BA9DF439C}" name="Table1" displayName="Table1" ref="A1:J151" totalsRowShown="0">
  <autoFilter ref="A1:J151" xr:uid="{B22B0FB3-CF4B-44DE-934B-D19BA9DF439C}"/>
  <tableColumns count="10">
    <tableColumn id="21" xr3:uid="{B6C0D698-CF9C-46FD-91B1-F515CA8D5334}" name="Student_ID"/>
    <tableColumn id="1" xr3:uid="{A4979813-45F5-47CC-AD94-2FBE4533D420}" name="Name"/>
    <tableColumn id="2" xr3:uid="{B904FE0A-F704-452E-820D-65FE2FF12306}" name="Subject"/>
    <tableColumn id="3" xr3:uid="{658123CF-6E05-4F84-92CF-47CC90BF7E0E}" name="Total_Classes"/>
    <tableColumn id="4" xr3:uid="{A4CC802A-FF87-46E9-A868-585E85E7DF44}" name="Attended_Classes"/>
    <tableColumn id="5" xr3:uid="{CE0566CD-89F9-467B-9375-CAF367AB3C67}" name="Marks"/>
    <tableColumn id="8" xr3:uid="{C332C3C9-C386-4B07-970C-6E648A958B0E}" name="Attendance_%" dataDxfId="3" dataCellStyle="Percent">
      <calculatedColumnFormula>Table1[[#This Row],[Attended_Classes]]/Table1[[#This Row],[Total_Classes]]</calculatedColumnFormula>
    </tableColumn>
    <tableColumn id="9" xr3:uid="{A276B50B-FA12-42C5-AEAC-78EC9A6B958B}" name="Eligible" dataDxfId="2">
      <calculatedColumnFormula>IF(Table1[[#This Row],[Attendance_%]]&lt;0.75,"Not Eligible","Eligible")</calculatedColumnFormula>
    </tableColumn>
    <tableColumn id="10" xr3:uid="{4FD0C816-6D4D-41DF-AF75-D1B928A7852C}" name="Branch" dataDxfId="1">
      <calculatedColumnFormula>_xlfn.XLOOKUP(Table1[[#This Row],[Student_ID]],Student_Master!$A:$A,Student_Master!$C:$C)</calculatedColumnFormula>
    </tableColumn>
    <tableColumn id="11" xr3:uid="{18C95981-8A6D-4D7C-95A3-770AE4B48B3D}" name="Year" dataDxfId="0">
      <calculatedColumnFormula>_xlfn.XLOOKUP(Table1[[#This Row],[Student_ID]],Student_Master!$A:$A,Student_Master!$D:$D)</calculatedColumnFormula>
    </tableColumn>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E3D761-4C39-4C72-A7D5-D410C06132B4}" name="Table2" displayName="Table2" ref="A1:D51" totalsRowShown="0">
  <autoFilter ref="A1:D51" xr:uid="{17E3D761-4C39-4C72-A7D5-D410C06132B4}"/>
  <tableColumns count="4">
    <tableColumn id="1" xr3:uid="{F329C84B-7AA9-414C-882B-122FFA618746}" name="Student_ID"/>
    <tableColumn id="2" xr3:uid="{0E0D1EB1-0D9B-4EB6-979F-37BEAAC4D50C}" name="Name"/>
    <tableColumn id="3" xr3:uid="{E651FFAC-CA10-4CB0-BB30-B76718430220}" name="Branch"/>
    <tableColumn id="4" xr3:uid="{7BA05E54-2551-4D56-9E88-32174CCA5729}"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7A2D7-D558-4FB5-8365-CA334CC1BD6F}">
  <dimension ref="A1:J152"/>
  <sheetViews>
    <sheetView tabSelected="1" topLeftCell="A18" workbookViewId="0">
      <selection activeCell="E12" sqref="E12"/>
    </sheetView>
  </sheetViews>
  <sheetFormatPr defaultRowHeight="14.5" x14ac:dyDescent="0.35"/>
  <cols>
    <col min="1" max="1" width="15.54296875" customWidth="1"/>
    <col min="2" max="2" width="12" customWidth="1"/>
    <col min="3" max="3" width="14.26953125" customWidth="1"/>
    <col min="4" max="4" width="17.81640625" customWidth="1"/>
    <col min="5" max="5" width="18.26953125" customWidth="1"/>
    <col min="7" max="7" width="14.7265625" customWidth="1"/>
    <col min="8" max="8" width="10.7265625" customWidth="1"/>
    <col min="9" max="9" width="10.26953125" customWidth="1"/>
  </cols>
  <sheetData>
    <row r="1" spans="1:10" ht="15" thickBot="1" x14ac:dyDescent="0.4">
      <c r="A1" t="s">
        <v>118</v>
      </c>
      <c r="B1" t="s">
        <v>0</v>
      </c>
      <c r="C1" t="s">
        <v>1</v>
      </c>
      <c r="D1" t="s">
        <v>2</v>
      </c>
      <c r="E1" t="s">
        <v>3</v>
      </c>
      <c r="F1" t="s">
        <v>4</v>
      </c>
      <c r="G1" s="1" t="s">
        <v>116</v>
      </c>
      <c r="H1" t="s">
        <v>117</v>
      </c>
      <c r="I1" t="s">
        <v>60</v>
      </c>
      <c r="J1" t="s">
        <v>61</v>
      </c>
    </row>
    <row r="2" spans="1:10" x14ac:dyDescent="0.35">
      <c r="A2" t="s">
        <v>62</v>
      </c>
      <c r="B2" t="s">
        <v>5</v>
      </c>
      <c r="C2" t="s">
        <v>6</v>
      </c>
      <c r="D2">
        <v>31</v>
      </c>
      <c r="E2">
        <v>31</v>
      </c>
      <c r="F2">
        <v>70</v>
      </c>
      <c r="G2" s="2">
        <f>Table1[[#This Row],[Attended_Classes]]/Table1[[#This Row],[Total_Classes]]</f>
        <v>1</v>
      </c>
      <c r="H2" t="str">
        <f>IF(Table1[[#This Row],[Attendance_%]]&lt;0.75,"Not Eligible","Eligible")</f>
        <v>Eligible</v>
      </c>
      <c r="I2" t="str">
        <f>_xlfn.XLOOKUP(Table1[[#This Row],[Student_ID]],Student_Master!$A:$A,Student_Master!$C:$C)</f>
        <v>ME</v>
      </c>
      <c r="J2">
        <f>_xlfn.XLOOKUP(Table1[[#This Row],[Student_ID]],Student_Master!$A:$A,Student_Master!$D:$D)</f>
        <v>3</v>
      </c>
    </row>
    <row r="3" spans="1:10" x14ac:dyDescent="0.35">
      <c r="A3" t="s">
        <v>64</v>
      </c>
      <c r="B3" t="s">
        <v>5</v>
      </c>
      <c r="C3" t="s">
        <v>7</v>
      </c>
      <c r="D3">
        <v>43</v>
      </c>
      <c r="E3">
        <v>32</v>
      </c>
      <c r="F3">
        <v>47</v>
      </c>
      <c r="G3" s="3">
        <f>Table1[[#This Row],[Attended_Classes]]/Table1[[#This Row],[Total_Classes]]</f>
        <v>0.7441860465116279</v>
      </c>
      <c r="H3" t="str">
        <f>IF(Table1[[#This Row],[Attendance_%]]&lt;0.75,"Not Eligible","Eligible")</f>
        <v>Not Eligible</v>
      </c>
      <c r="I3" t="str">
        <f>_xlfn.XLOOKUP(Table1[[#This Row],[Student_ID]],Student_Master!$A:$A,Student_Master!$C:$C)</f>
        <v>CE</v>
      </c>
      <c r="J3">
        <f>_xlfn.XLOOKUP(Table1[[#This Row],[Student_ID]],Student_Master!$A:$A,Student_Master!$D:$D)</f>
        <v>2</v>
      </c>
    </row>
    <row r="4" spans="1:10" x14ac:dyDescent="0.35">
      <c r="A4" t="s">
        <v>66</v>
      </c>
      <c r="B4" t="s">
        <v>5</v>
      </c>
      <c r="C4" t="s">
        <v>8</v>
      </c>
      <c r="D4">
        <v>41</v>
      </c>
      <c r="E4">
        <v>40</v>
      </c>
      <c r="F4">
        <v>99</v>
      </c>
      <c r="G4" s="3">
        <f>Table1[[#This Row],[Attended_Classes]]/Table1[[#This Row],[Total_Classes]]</f>
        <v>0.97560975609756095</v>
      </c>
      <c r="H4" t="str">
        <f>IF(Table1[[#This Row],[Attendance_%]]&lt;0.75,"Not Eligible","Eligible")</f>
        <v>Eligible</v>
      </c>
      <c r="I4" t="str">
        <f>_xlfn.XLOOKUP(Table1[[#This Row],[Student_ID]],Student_Master!$A:$A,Student_Master!$C:$C)</f>
        <v>CSE</v>
      </c>
      <c r="J4">
        <f>_xlfn.XLOOKUP(Table1[[#This Row],[Student_ID]],Student_Master!$A:$A,Student_Master!$D:$D)</f>
        <v>3</v>
      </c>
    </row>
    <row r="5" spans="1:10" x14ac:dyDescent="0.35">
      <c r="A5" t="s">
        <v>68</v>
      </c>
      <c r="B5" t="s">
        <v>9</v>
      </c>
      <c r="C5" t="s">
        <v>7</v>
      </c>
      <c r="D5">
        <v>40</v>
      </c>
      <c r="E5">
        <v>35</v>
      </c>
      <c r="F5">
        <v>86</v>
      </c>
      <c r="G5" s="2">
        <f>Table1[[#This Row],[Attended_Classes]]/Table1[[#This Row],[Total_Classes]]</f>
        <v>0.875</v>
      </c>
      <c r="H5" t="str">
        <f>IF(Table1[[#This Row],[Attendance_%]]&lt;0.75,"Not Eligible","Eligible")</f>
        <v>Eligible</v>
      </c>
      <c r="I5" t="str">
        <f>_xlfn.XLOOKUP(Table1[[#This Row],[Student_ID]],Student_Master!$A:$A,Student_Master!$C:$C)</f>
        <v>CSE</v>
      </c>
      <c r="J5">
        <f>_xlfn.XLOOKUP(Table1[[#This Row],[Student_ID]],Student_Master!$A:$A,Student_Master!$D:$D)</f>
        <v>4</v>
      </c>
    </row>
    <row r="6" spans="1:10" x14ac:dyDescent="0.35">
      <c r="A6" t="s">
        <v>69</v>
      </c>
      <c r="B6" t="s">
        <v>9</v>
      </c>
      <c r="C6" t="s">
        <v>8</v>
      </c>
      <c r="D6">
        <v>40</v>
      </c>
      <c r="E6">
        <v>26</v>
      </c>
      <c r="F6">
        <v>68</v>
      </c>
      <c r="G6" s="3">
        <f>Table1[[#This Row],[Attended_Classes]]/Table1[[#This Row],[Total_Classes]]</f>
        <v>0.65</v>
      </c>
      <c r="H6" t="str">
        <f>IF(Table1[[#This Row],[Attendance_%]]&lt;0.75,"Not Eligible","Eligible")</f>
        <v>Not Eligible</v>
      </c>
      <c r="I6" t="str">
        <f>_xlfn.XLOOKUP(Table1[[#This Row],[Student_ID]],Student_Master!$A:$A,Student_Master!$C:$C)</f>
        <v>ME</v>
      </c>
      <c r="J6">
        <f>_xlfn.XLOOKUP(Table1[[#This Row],[Student_ID]],Student_Master!$A:$A,Student_Master!$D:$D)</f>
        <v>3</v>
      </c>
    </row>
    <row r="7" spans="1:10" x14ac:dyDescent="0.35">
      <c r="A7" t="s">
        <v>70</v>
      </c>
      <c r="B7" t="s">
        <v>9</v>
      </c>
      <c r="C7" t="s">
        <v>10</v>
      </c>
      <c r="D7">
        <v>42</v>
      </c>
      <c r="E7">
        <v>30</v>
      </c>
      <c r="F7">
        <v>40</v>
      </c>
      <c r="G7" s="2">
        <f>Table1[[#This Row],[Attended_Classes]]/Table1[[#This Row],[Total_Classes]]</f>
        <v>0.7142857142857143</v>
      </c>
      <c r="H7" t="str">
        <f>IF(Table1[[#This Row],[Attendance_%]]&lt;0.75,"Not Eligible","Eligible")</f>
        <v>Not Eligible</v>
      </c>
      <c r="I7" t="str">
        <f>_xlfn.XLOOKUP(Table1[[#This Row],[Student_ID]],Student_Master!$A:$A,Student_Master!$C:$C)</f>
        <v>CE</v>
      </c>
      <c r="J7">
        <f>_xlfn.XLOOKUP(Table1[[#This Row],[Student_ID]],Student_Master!$A:$A,Student_Master!$D:$D)</f>
        <v>4</v>
      </c>
    </row>
    <row r="8" spans="1:10" x14ac:dyDescent="0.35">
      <c r="A8" t="s">
        <v>71</v>
      </c>
      <c r="B8" t="s">
        <v>11</v>
      </c>
      <c r="C8" t="s">
        <v>8</v>
      </c>
      <c r="D8">
        <v>28</v>
      </c>
      <c r="E8">
        <v>25</v>
      </c>
      <c r="F8">
        <v>63</v>
      </c>
      <c r="G8" s="3">
        <f>Table1[[#This Row],[Attended_Classes]]/Table1[[#This Row],[Total_Classes]]</f>
        <v>0.8928571428571429</v>
      </c>
      <c r="H8" t="str">
        <f>IF(Table1[[#This Row],[Attendance_%]]&lt;0.75,"Not Eligible","Eligible")</f>
        <v>Eligible</v>
      </c>
      <c r="I8" t="str">
        <f>_xlfn.XLOOKUP(Table1[[#This Row],[Student_ID]],Student_Master!$A:$A,Student_Master!$C:$C)</f>
        <v>CSE</v>
      </c>
      <c r="J8">
        <f>_xlfn.XLOOKUP(Table1[[#This Row],[Student_ID]],Student_Master!$A:$A,Student_Master!$D:$D)</f>
        <v>4</v>
      </c>
    </row>
    <row r="9" spans="1:10" x14ac:dyDescent="0.35">
      <c r="A9" t="s">
        <v>72</v>
      </c>
      <c r="B9" t="s">
        <v>11</v>
      </c>
      <c r="C9" t="s">
        <v>12</v>
      </c>
      <c r="D9">
        <v>38</v>
      </c>
      <c r="E9">
        <v>36</v>
      </c>
      <c r="F9">
        <v>56</v>
      </c>
      <c r="G9" s="2">
        <f>Table1[[#This Row],[Attended_Classes]]/Table1[[#This Row],[Total_Classes]]</f>
        <v>0.94736842105263153</v>
      </c>
      <c r="H9" t="str">
        <f>IF(Table1[[#This Row],[Attendance_%]]&lt;0.75,"Not Eligible","Eligible")</f>
        <v>Eligible</v>
      </c>
      <c r="I9" t="str">
        <f>_xlfn.XLOOKUP(Table1[[#This Row],[Student_ID]],Student_Master!$A:$A,Student_Master!$C:$C)</f>
        <v>CSE</v>
      </c>
      <c r="J9">
        <f>_xlfn.XLOOKUP(Table1[[#This Row],[Student_ID]],Student_Master!$A:$A,Student_Master!$D:$D)</f>
        <v>1</v>
      </c>
    </row>
    <row r="10" spans="1:10" x14ac:dyDescent="0.35">
      <c r="A10" t="s">
        <v>73</v>
      </c>
      <c r="B10" t="s">
        <v>11</v>
      </c>
      <c r="C10" t="s">
        <v>10</v>
      </c>
      <c r="D10">
        <v>35</v>
      </c>
      <c r="E10">
        <v>20</v>
      </c>
      <c r="F10">
        <v>74</v>
      </c>
      <c r="G10" s="3">
        <f>Table1[[#This Row],[Attended_Classes]]/Table1[[#This Row],[Total_Classes]]</f>
        <v>0.5714285714285714</v>
      </c>
      <c r="H10" t="str">
        <f>IF(Table1[[#This Row],[Attendance_%]]&lt;0.75,"Not Eligible","Eligible")</f>
        <v>Not Eligible</v>
      </c>
      <c r="I10" t="str">
        <f>_xlfn.XLOOKUP(Table1[[#This Row],[Student_ID]],Student_Master!$A:$A,Student_Master!$C:$C)</f>
        <v>ME</v>
      </c>
      <c r="J10">
        <f>_xlfn.XLOOKUP(Table1[[#This Row],[Student_ID]],Student_Master!$A:$A,Student_Master!$D:$D)</f>
        <v>3</v>
      </c>
    </row>
    <row r="11" spans="1:10" x14ac:dyDescent="0.35">
      <c r="A11" t="s">
        <v>74</v>
      </c>
      <c r="B11" t="s">
        <v>13</v>
      </c>
      <c r="C11" t="s">
        <v>8</v>
      </c>
      <c r="D11">
        <v>34</v>
      </c>
      <c r="E11">
        <v>26</v>
      </c>
      <c r="F11">
        <v>67</v>
      </c>
      <c r="G11" s="2">
        <f>Table1[[#This Row],[Attended_Classes]]/Table1[[#This Row],[Total_Classes]]</f>
        <v>0.76470588235294112</v>
      </c>
      <c r="H11" t="str">
        <f>IF(Table1[[#This Row],[Attendance_%]]&lt;0.75,"Not Eligible","Eligible")</f>
        <v>Eligible</v>
      </c>
      <c r="I11" t="str">
        <f>_xlfn.XLOOKUP(Table1[[#This Row],[Student_ID]],Student_Master!$A:$A,Student_Master!$C:$C)</f>
        <v>ECE</v>
      </c>
      <c r="J11">
        <f>_xlfn.XLOOKUP(Table1[[#This Row],[Student_ID]],Student_Master!$A:$A,Student_Master!$D:$D)</f>
        <v>1</v>
      </c>
    </row>
    <row r="12" spans="1:10" x14ac:dyDescent="0.35">
      <c r="A12" t="s">
        <v>76</v>
      </c>
      <c r="B12" t="s">
        <v>13</v>
      </c>
      <c r="C12" t="s">
        <v>12</v>
      </c>
      <c r="D12">
        <v>34</v>
      </c>
      <c r="E12">
        <v>26</v>
      </c>
      <c r="F12">
        <v>47</v>
      </c>
      <c r="G12" s="3">
        <f>Table1[[#This Row],[Attended_Classes]]/Table1[[#This Row],[Total_Classes]]</f>
        <v>0.76470588235294112</v>
      </c>
      <c r="H12" t="str">
        <f>IF(Table1[[#This Row],[Attendance_%]]&lt;0.75,"Not Eligible","Eligible")</f>
        <v>Eligible</v>
      </c>
      <c r="I12" t="str">
        <f>_xlfn.XLOOKUP(Table1[[#This Row],[Student_ID]],Student_Master!$A:$A,Student_Master!$C:$C)</f>
        <v>ME</v>
      </c>
      <c r="J12">
        <f>_xlfn.XLOOKUP(Table1[[#This Row],[Student_ID]],Student_Master!$A:$A,Student_Master!$D:$D)</f>
        <v>3</v>
      </c>
    </row>
    <row r="13" spans="1:10" x14ac:dyDescent="0.35">
      <c r="A13" t="s">
        <v>77</v>
      </c>
      <c r="B13" t="s">
        <v>13</v>
      </c>
      <c r="C13" t="s">
        <v>10</v>
      </c>
      <c r="D13">
        <v>39</v>
      </c>
      <c r="E13">
        <v>19</v>
      </c>
      <c r="F13">
        <v>72</v>
      </c>
      <c r="G13" s="2">
        <f>Table1[[#This Row],[Attended_Classes]]/Table1[[#This Row],[Total_Classes]]</f>
        <v>0.48717948717948717</v>
      </c>
      <c r="H13" t="str">
        <f>IF(Table1[[#This Row],[Attendance_%]]&lt;0.75,"Not Eligible","Eligible")</f>
        <v>Not Eligible</v>
      </c>
      <c r="I13" t="str">
        <f>_xlfn.XLOOKUP(Table1[[#This Row],[Student_ID]],Student_Master!$A:$A,Student_Master!$C:$C)</f>
        <v>ME</v>
      </c>
      <c r="J13">
        <f>_xlfn.XLOOKUP(Table1[[#This Row],[Student_ID]],Student_Master!$A:$A,Student_Master!$D:$D)</f>
        <v>3</v>
      </c>
    </row>
    <row r="14" spans="1:10" x14ac:dyDescent="0.35">
      <c r="A14" t="s">
        <v>78</v>
      </c>
      <c r="B14" t="s">
        <v>14</v>
      </c>
      <c r="C14" t="s">
        <v>8</v>
      </c>
      <c r="D14">
        <v>30</v>
      </c>
      <c r="E14">
        <v>18</v>
      </c>
      <c r="F14">
        <v>74</v>
      </c>
      <c r="G14" s="3">
        <f>Table1[[#This Row],[Attended_Classes]]/Table1[[#This Row],[Total_Classes]]</f>
        <v>0.6</v>
      </c>
      <c r="H14" t="str">
        <f>IF(Table1[[#This Row],[Attendance_%]]&lt;0.75,"Not Eligible","Eligible")</f>
        <v>Not Eligible</v>
      </c>
      <c r="I14" t="str">
        <f>_xlfn.XLOOKUP(Table1[[#This Row],[Student_ID]],Student_Master!$A:$A,Student_Master!$C:$C)</f>
        <v>ME</v>
      </c>
      <c r="J14">
        <f>_xlfn.XLOOKUP(Table1[[#This Row],[Student_ID]],Student_Master!$A:$A,Student_Master!$D:$D)</f>
        <v>1</v>
      </c>
    </row>
    <row r="15" spans="1:10" x14ac:dyDescent="0.35">
      <c r="A15" t="s">
        <v>79</v>
      </c>
      <c r="B15" t="s">
        <v>14</v>
      </c>
      <c r="C15" t="s">
        <v>6</v>
      </c>
      <c r="D15">
        <v>32</v>
      </c>
      <c r="E15">
        <v>32</v>
      </c>
      <c r="F15">
        <v>53</v>
      </c>
      <c r="G15" s="2">
        <f>Table1[[#This Row],[Attended_Classes]]/Table1[[#This Row],[Total_Classes]]</f>
        <v>1</v>
      </c>
      <c r="H15" t="str">
        <f>IF(Table1[[#This Row],[Attendance_%]]&lt;0.75,"Not Eligible","Eligible")</f>
        <v>Eligible</v>
      </c>
      <c r="I15" t="str">
        <f>_xlfn.XLOOKUP(Table1[[#This Row],[Student_ID]],Student_Master!$A:$A,Student_Master!$C:$C)</f>
        <v>ME</v>
      </c>
      <c r="J15">
        <f>_xlfn.XLOOKUP(Table1[[#This Row],[Student_ID]],Student_Master!$A:$A,Student_Master!$D:$D)</f>
        <v>1</v>
      </c>
    </row>
    <row r="16" spans="1:10" x14ac:dyDescent="0.35">
      <c r="A16" t="s">
        <v>80</v>
      </c>
      <c r="B16" t="s">
        <v>14</v>
      </c>
      <c r="C16" t="s">
        <v>12</v>
      </c>
      <c r="D16">
        <v>30</v>
      </c>
      <c r="E16">
        <v>18</v>
      </c>
      <c r="F16">
        <v>44</v>
      </c>
      <c r="G16" s="3">
        <f>Table1[[#This Row],[Attended_Classes]]/Table1[[#This Row],[Total_Classes]]</f>
        <v>0.6</v>
      </c>
      <c r="H16" t="str">
        <f>IF(Table1[[#This Row],[Attendance_%]]&lt;0.75,"Not Eligible","Eligible")</f>
        <v>Not Eligible</v>
      </c>
      <c r="I16" t="str">
        <f>_xlfn.XLOOKUP(Table1[[#This Row],[Student_ID]],Student_Master!$A:$A,Student_Master!$C:$C)</f>
        <v>CE</v>
      </c>
      <c r="J16">
        <f>_xlfn.XLOOKUP(Table1[[#This Row],[Student_ID]],Student_Master!$A:$A,Student_Master!$D:$D)</f>
        <v>3</v>
      </c>
    </row>
    <row r="17" spans="1:10" x14ac:dyDescent="0.35">
      <c r="A17" t="s">
        <v>81</v>
      </c>
      <c r="B17" t="s">
        <v>15</v>
      </c>
      <c r="C17" t="s">
        <v>6</v>
      </c>
      <c r="D17">
        <v>34</v>
      </c>
      <c r="E17">
        <v>26</v>
      </c>
      <c r="F17">
        <v>54</v>
      </c>
      <c r="G17" s="2">
        <f>Table1[[#This Row],[Attended_Classes]]/Table1[[#This Row],[Total_Classes]]</f>
        <v>0.76470588235294112</v>
      </c>
      <c r="H17" t="str">
        <f>IF(Table1[[#This Row],[Attendance_%]]&lt;0.75,"Not Eligible","Eligible")</f>
        <v>Eligible</v>
      </c>
      <c r="I17" t="str">
        <f>_xlfn.XLOOKUP(Table1[[#This Row],[Student_ID]],Student_Master!$A:$A,Student_Master!$C:$C)</f>
        <v>CSE</v>
      </c>
      <c r="J17">
        <f>_xlfn.XLOOKUP(Table1[[#This Row],[Student_ID]],Student_Master!$A:$A,Student_Master!$D:$D)</f>
        <v>2</v>
      </c>
    </row>
    <row r="18" spans="1:10" x14ac:dyDescent="0.35">
      <c r="A18" t="s">
        <v>82</v>
      </c>
      <c r="B18" t="s">
        <v>15</v>
      </c>
      <c r="C18" t="s">
        <v>10</v>
      </c>
      <c r="D18">
        <v>42</v>
      </c>
      <c r="E18">
        <v>27</v>
      </c>
      <c r="F18">
        <v>99</v>
      </c>
      <c r="G18" s="3">
        <f>Table1[[#This Row],[Attended_Classes]]/Table1[[#This Row],[Total_Classes]]</f>
        <v>0.6428571428571429</v>
      </c>
      <c r="H18" t="str">
        <f>IF(Table1[[#This Row],[Attendance_%]]&lt;0.75,"Not Eligible","Eligible")</f>
        <v>Not Eligible</v>
      </c>
      <c r="I18" t="str">
        <f>_xlfn.XLOOKUP(Table1[[#This Row],[Student_ID]],Student_Master!$A:$A,Student_Master!$C:$C)</f>
        <v>CE</v>
      </c>
      <c r="J18">
        <f>_xlfn.XLOOKUP(Table1[[#This Row],[Student_ID]],Student_Master!$A:$A,Student_Master!$D:$D)</f>
        <v>4</v>
      </c>
    </row>
    <row r="19" spans="1:10" x14ac:dyDescent="0.35">
      <c r="A19" t="s">
        <v>83</v>
      </c>
      <c r="B19" t="s">
        <v>15</v>
      </c>
      <c r="C19" t="s">
        <v>8</v>
      </c>
      <c r="D19">
        <v>40</v>
      </c>
      <c r="E19">
        <v>36</v>
      </c>
      <c r="F19">
        <v>71</v>
      </c>
      <c r="G19" s="2">
        <f>Table1[[#This Row],[Attended_Classes]]/Table1[[#This Row],[Total_Classes]]</f>
        <v>0.9</v>
      </c>
      <c r="H19" t="str">
        <f>IF(Table1[[#This Row],[Attendance_%]]&lt;0.75,"Not Eligible","Eligible")</f>
        <v>Eligible</v>
      </c>
      <c r="I19" t="str">
        <f>_xlfn.XLOOKUP(Table1[[#This Row],[Student_ID]],Student_Master!$A:$A,Student_Master!$C:$C)</f>
        <v>CE</v>
      </c>
      <c r="J19">
        <f>_xlfn.XLOOKUP(Table1[[#This Row],[Student_ID]],Student_Master!$A:$A,Student_Master!$D:$D)</f>
        <v>1</v>
      </c>
    </row>
    <row r="20" spans="1:10" x14ac:dyDescent="0.35">
      <c r="A20" t="s">
        <v>84</v>
      </c>
      <c r="B20" t="s">
        <v>16</v>
      </c>
      <c r="C20" t="s">
        <v>7</v>
      </c>
      <c r="D20">
        <v>31</v>
      </c>
      <c r="E20">
        <v>31</v>
      </c>
      <c r="F20">
        <v>76</v>
      </c>
      <c r="G20" s="3">
        <f>Table1[[#This Row],[Attended_Classes]]/Table1[[#This Row],[Total_Classes]]</f>
        <v>1</v>
      </c>
      <c r="H20" t="str">
        <f>IF(Table1[[#This Row],[Attendance_%]]&lt;0.75,"Not Eligible","Eligible")</f>
        <v>Eligible</v>
      </c>
      <c r="I20" t="str">
        <f>_xlfn.XLOOKUP(Table1[[#This Row],[Student_ID]],Student_Master!$A:$A,Student_Master!$C:$C)</f>
        <v>CE</v>
      </c>
      <c r="J20">
        <f>_xlfn.XLOOKUP(Table1[[#This Row],[Student_ID]],Student_Master!$A:$A,Student_Master!$D:$D)</f>
        <v>4</v>
      </c>
    </row>
    <row r="21" spans="1:10" x14ac:dyDescent="0.35">
      <c r="A21" t="s">
        <v>85</v>
      </c>
      <c r="B21" t="s">
        <v>16</v>
      </c>
      <c r="C21" t="s">
        <v>12</v>
      </c>
      <c r="D21">
        <v>34</v>
      </c>
      <c r="E21">
        <v>30</v>
      </c>
      <c r="F21">
        <v>54</v>
      </c>
      <c r="G21" s="2">
        <f>Table1[[#This Row],[Attended_Classes]]/Table1[[#This Row],[Total_Classes]]</f>
        <v>0.88235294117647056</v>
      </c>
      <c r="H21" t="str">
        <f>IF(Table1[[#This Row],[Attendance_%]]&lt;0.75,"Not Eligible","Eligible")</f>
        <v>Eligible</v>
      </c>
      <c r="I21" t="str">
        <f>_xlfn.XLOOKUP(Table1[[#This Row],[Student_ID]],Student_Master!$A:$A,Student_Master!$C:$C)</f>
        <v>ME</v>
      </c>
      <c r="J21">
        <f>_xlfn.XLOOKUP(Table1[[#This Row],[Student_ID]],Student_Master!$A:$A,Student_Master!$D:$D)</f>
        <v>2</v>
      </c>
    </row>
    <row r="22" spans="1:10" x14ac:dyDescent="0.35">
      <c r="A22" t="s">
        <v>86</v>
      </c>
      <c r="B22" t="s">
        <v>16</v>
      </c>
      <c r="C22" t="s">
        <v>10</v>
      </c>
      <c r="D22">
        <v>38</v>
      </c>
      <c r="E22">
        <v>21</v>
      </c>
      <c r="F22">
        <v>52</v>
      </c>
      <c r="G22" s="3">
        <f>Table1[[#This Row],[Attended_Classes]]/Table1[[#This Row],[Total_Classes]]</f>
        <v>0.55263157894736847</v>
      </c>
      <c r="H22" t="str">
        <f>IF(Table1[[#This Row],[Attendance_%]]&lt;0.75,"Not Eligible","Eligible")</f>
        <v>Not Eligible</v>
      </c>
      <c r="I22" t="str">
        <f>_xlfn.XLOOKUP(Table1[[#This Row],[Student_ID]],Student_Master!$A:$A,Student_Master!$C:$C)</f>
        <v>ECE</v>
      </c>
      <c r="J22">
        <f>_xlfn.XLOOKUP(Table1[[#This Row],[Student_ID]],Student_Master!$A:$A,Student_Master!$D:$D)</f>
        <v>2</v>
      </c>
    </row>
    <row r="23" spans="1:10" x14ac:dyDescent="0.35">
      <c r="A23" t="s">
        <v>87</v>
      </c>
      <c r="B23" t="s">
        <v>17</v>
      </c>
      <c r="C23" t="s">
        <v>6</v>
      </c>
      <c r="D23">
        <v>29</v>
      </c>
      <c r="E23">
        <v>27</v>
      </c>
      <c r="F23">
        <v>84</v>
      </c>
      <c r="G23" s="2">
        <f>Table1[[#This Row],[Attended_Classes]]/Table1[[#This Row],[Total_Classes]]</f>
        <v>0.93103448275862066</v>
      </c>
      <c r="H23" t="str">
        <f>IF(Table1[[#This Row],[Attendance_%]]&lt;0.75,"Not Eligible","Eligible")</f>
        <v>Eligible</v>
      </c>
      <c r="I23" t="str">
        <f>_xlfn.XLOOKUP(Table1[[#This Row],[Student_ID]],Student_Master!$A:$A,Student_Master!$C:$C)</f>
        <v>CSE</v>
      </c>
      <c r="J23">
        <f>_xlfn.XLOOKUP(Table1[[#This Row],[Student_ID]],Student_Master!$A:$A,Student_Master!$D:$D)</f>
        <v>2</v>
      </c>
    </row>
    <row r="24" spans="1:10" x14ac:dyDescent="0.35">
      <c r="A24" t="s">
        <v>88</v>
      </c>
      <c r="B24" t="s">
        <v>17</v>
      </c>
      <c r="C24" t="s">
        <v>8</v>
      </c>
      <c r="D24">
        <v>33</v>
      </c>
      <c r="E24">
        <v>29</v>
      </c>
      <c r="F24">
        <v>67</v>
      </c>
      <c r="G24" s="3">
        <f>Table1[[#This Row],[Attended_Classes]]/Table1[[#This Row],[Total_Classes]]</f>
        <v>0.87878787878787878</v>
      </c>
      <c r="H24" t="str">
        <f>IF(Table1[[#This Row],[Attendance_%]]&lt;0.75,"Not Eligible","Eligible")</f>
        <v>Eligible</v>
      </c>
      <c r="I24" t="str">
        <f>_xlfn.XLOOKUP(Table1[[#This Row],[Student_ID]],Student_Master!$A:$A,Student_Master!$C:$C)</f>
        <v>ECE</v>
      </c>
      <c r="J24">
        <f>_xlfn.XLOOKUP(Table1[[#This Row],[Student_ID]],Student_Master!$A:$A,Student_Master!$D:$D)</f>
        <v>1</v>
      </c>
    </row>
    <row r="25" spans="1:10" x14ac:dyDescent="0.35">
      <c r="A25" t="s">
        <v>89</v>
      </c>
      <c r="B25" t="s">
        <v>17</v>
      </c>
      <c r="C25" t="s">
        <v>12</v>
      </c>
      <c r="D25">
        <v>39</v>
      </c>
      <c r="E25">
        <v>29</v>
      </c>
      <c r="F25">
        <v>59</v>
      </c>
      <c r="G25" s="2">
        <f>Table1[[#This Row],[Attended_Classes]]/Table1[[#This Row],[Total_Classes]]</f>
        <v>0.74358974358974361</v>
      </c>
      <c r="H25" t="str">
        <f>IF(Table1[[#This Row],[Attendance_%]]&lt;0.75,"Not Eligible","Eligible")</f>
        <v>Not Eligible</v>
      </c>
      <c r="I25" t="str">
        <f>_xlfn.XLOOKUP(Table1[[#This Row],[Student_ID]],Student_Master!$A:$A,Student_Master!$C:$C)</f>
        <v>CE</v>
      </c>
      <c r="J25">
        <f>_xlfn.XLOOKUP(Table1[[#This Row],[Student_ID]],Student_Master!$A:$A,Student_Master!$D:$D)</f>
        <v>2</v>
      </c>
    </row>
    <row r="26" spans="1:10" x14ac:dyDescent="0.35">
      <c r="A26" t="s">
        <v>90</v>
      </c>
      <c r="B26" t="s">
        <v>18</v>
      </c>
      <c r="C26" t="s">
        <v>10</v>
      </c>
      <c r="D26">
        <v>34</v>
      </c>
      <c r="E26">
        <v>18</v>
      </c>
      <c r="F26">
        <v>40</v>
      </c>
      <c r="G26" s="3">
        <f>Table1[[#This Row],[Attended_Classes]]/Table1[[#This Row],[Total_Classes]]</f>
        <v>0.52941176470588236</v>
      </c>
      <c r="H26" t="str">
        <f>IF(Table1[[#This Row],[Attendance_%]]&lt;0.75,"Not Eligible","Eligible")</f>
        <v>Not Eligible</v>
      </c>
      <c r="I26" t="str">
        <f>_xlfn.XLOOKUP(Table1[[#This Row],[Student_ID]],Student_Master!$A:$A,Student_Master!$C:$C)</f>
        <v>CE</v>
      </c>
      <c r="J26">
        <f>_xlfn.XLOOKUP(Table1[[#This Row],[Student_ID]],Student_Master!$A:$A,Student_Master!$D:$D)</f>
        <v>1</v>
      </c>
    </row>
    <row r="27" spans="1:10" x14ac:dyDescent="0.35">
      <c r="A27" t="s">
        <v>91</v>
      </c>
      <c r="B27" t="s">
        <v>18</v>
      </c>
      <c r="C27" t="s">
        <v>6</v>
      </c>
      <c r="D27">
        <v>40</v>
      </c>
      <c r="E27">
        <v>26</v>
      </c>
      <c r="F27">
        <v>42</v>
      </c>
      <c r="G27" s="2">
        <f>Table1[[#This Row],[Attended_Classes]]/Table1[[#This Row],[Total_Classes]]</f>
        <v>0.65</v>
      </c>
      <c r="H27" t="str">
        <f>IF(Table1[[#This Row],[Attendance_%]]&lt;0.75,"Not Eligible","Eligible")</f>
        <v>Not Eligible</v>
      </c>
      <c r="I27" t="str">
        <f>_xlfn.XLOOKUP(Table1[[#This Row],[Student_ID]],Student_Master!$A:$A,Student_Master!$C:$C)</f>
        <v>ECE</v>
      </c>
      <c r="J27">
        <f>_xlfn.XLOOKUP(Table1[[#This Row],[Student_ID]],Student_Master!$A:$A,Student_Master!$D:$D)</f>
        <v>2</v>
      </c>
    </row>
    <row r="28" spans="1:10" x14ac:dyDescent="0.35">
      <c r="A28" t="s">
        <v>92</v>
      </c>
      <c r="B28" t="s">
        <v>18</v>
      </c>
      <c r="C28" t="s">
        <v>12</v>
      </c>
      <c r="D28">
        <v>34</v>
      </c>
      <c r="E28">
        <v>23</v>
      </c>
      <c r="F28">
        <v>47</v>
      </c>
      <c r="G28" s="3">
        <f>Table1[[#This Row],[Attended_Classes]]/Table1[[#This Row],[Total_Classes]]</f>
        <v>0.67647058823529416</v>
      </c>
      <c r="H28" t="str">
        <f>IF(Table1[[#This Row],[Attendance_%]]&lt;0.75,"Not Eligible","Eligible")</f>
        <v>Not Eligible</v>
      </c>
      <c r="I28" t="str">
        <f>_xlfn.XLOOKUP(Table1[[#This Row],[Student_ID]],Student_Master!$A:$A,Student_Master!$C:$C)</f>
        <v>ECE</v>
      </c>
      <c r="J28">
        <f>_xlfn.XLOOKUP(Table1[[#This Row],[Student_ID]],Student_Master!$A:$A,Student_Master!$D:$D)</f>
        <v>4</v>
      </c>
    </row>
    <row r="29" spans="1:10" x14ac:dyDescent="0.35">
      <c r="A29" t="s">
        <v>93</v>
      </c>
      <c r="B29" t="s">
        <v>19</v>
      </c>
      <c r="C29" t="s">
        <v>10</v>
      </c>
      <c r="D29">
        <v>28</v>
      </c>
      <c r="E29">
        <v>20</v>
      </c>
      <c r="F29">
        <v>81</v>
      </c>
      <c r="G29" s="2">
        <f>Table1[[#This Row],[Attended_Classes]]/Table1[[#This Row],[Total_Classes]]</f>
        <v>0.7142857142857143</v>
      </c>
      <c r="H29" t="str">
        <f>IF(Table1[[#This Row],[Attendance_%]]&lt;0.75,"Not Eligible","Eligible")</f>
        <v>Not Eligible</v>
      </c>
      <c r="I29" t="str">
        <f>_xlfn.XLOOKUP(Table1[[#This Row],[Student_ID]],Student_Master!$A:$A,Student_Master!$C:$C)</f>
        <v>ECE</v>
      </c>
      <c r="J29">
        <f>_xlfn.XLOOKUP(Table1[[#This Row],[Student_ID]],Student_Master!$A:$A,Student_Master!$D:$D)</f>
        <v>4</v>
      </c>
    </row>
    <row r="30" spans="1:10" x14ac:dyDescent="0.35">
      <c r="A30" t="s">
        <v>94</v>
      </c>
      <c r="B30" t="s">
        <v>19</v>
      </c>
      <c r="C30" t="s">
        <v>8</v>
      </c>
      <c r="D30">
        <v>39</v>
      </c>
      <c r="E30">
        <v>32</v>
      </c>
      <c r="F30">
        <v>98</v>
      </c>
      <c r="G30" s="3">
        <f>Table1[[#This Row],[Attended_Classes]]/Table1[[#This Row],[Total_Classes]]</f>
        <v>0.82051282051282048</v>
      </c>
      <c r="H30" t="str">
        <f>IF(Table1[[#This Row],[Attendance_%]]&lt;0.75,"Not Eligible","Eligible")</f>
        <v>Eligible</v>
      </c>
      <c r="I30" t="str">
        <f>_xlfn.XLOOKUP(Table1[[#This Row],[Student_ID]],Student_Master!$A:$A,Student_Master!$C:$C)</f>
        <v>CE</v>
      </c>
      <c r="J30">
        <f>_xlfn.XLOOKUP(Table1[[#This Row],[Student_ID]],Student_Master!$A:$A,Student_Master!$D:$D)</f>
        <v>3</v>
      </c>
    </row>
    <row r="31" spans="1:10" x14ac:dyDescent="0.35">
      <c r="A31" t="s">
        <v>95</v>
      </c>
      <c r="B31" t="s">
        <v>19</v>
      </c>
      <c r="C31" t="s">
        <v>12</v>
      </c>
      <c r="D31">
        <v>36</v>
      </c>
      <c r="E31">
        <v>34</v>
      </c>
      <c r="F31">
        <v>88</v>
      </c>
      <c r="G31" s="2">
        <f>Table1[[#This Row],[Attended_Classes]]/Table1[[#This Row],[Total_Classes]]</f>
        <v>0.94444444444444442</v>
      </c>
      <c r="H31" t="str">
        <f>IF(Table1[[#This Row],[Attendance_%]]&lt;0.75,"Not Eligible","Eligible")</f>
        <v>Eligible</v>
      </c>
      <c r="I31" t="str">
        <f>_xlfn.XLOOKUP(Table1[[#This Row],[Student_ID]],Student_Master!$A:$A,Student_Master!$C:$C)</f>
        <v>CE</v>
      </c>
      <c r="J31">
        <f>_xlfn.XLOOKUP(Table1[[#This Row],[Student_ID]],Student_Master!$A:$A,Student_Master!$D:$D)</f>
        <v>4</v>
      </c>
    </row>
    <row r="32" spans="1:10" x14ac:dyDescent="0.35">
      <c r="A32" t="s">
        <v>96</v>
      </c>
      <c r="B32" t="s">
        <v>20</v>
      </c>
      <c r="C32" t="s">
        <v>7</v>
      </c>
      <c r="D32">
        <v>29</v>
      </c>
      <c r="E32">
        <v>20</v>
      </c>
      <c r="F32">
        <v>88</v>
      </c>
      <c r="G32" s="3">
        <f>Table1[[#This Row],[Attended_Classes]]/Table1[[#This Row],[Total_Classes]]</f>
        <v>0.68965517241379315</v>
      </c>
      <c r="H32" t="str">
        <f>IF(Table1[[#This Row],[Attendance_%]]&lt;0.75,"Not Eligible","Eligible")</f>
        <v>Not Eligible</v>
      </c>
      <c r="I32" t="str">
        <f>_xlfn.XLOOKUP(Table1[[#This Row],[Student_ID]],Student_Master!$A:$A,Student_Master!$C:$C)</f>
        <v>CSE</v>
      </c>
      <c r="J32">
        <f>_xlfn.XLOOKUP(Table1[[#This Row],[Student_ID]],Student_Master!$A:$A,Student_Master!$D:$D)</f>
        <v>3</v>
      </c>
    </row>
    <row r="33" spans="1:10" x14ac:dyDescent="0.35">
      <c r="A33" t="s">
        <v>97</v>
      </c>
      <c r="B33" t="s">
        <v>20</v>
      </c>
      <c r="C33" t="s">
        <v>6</v>
      </c>
      <c r="D33">
        <v>32</v>
      </c>
      <c r="E33">
        <v>18</v>
      </c>
      <c r="F33">
        <v>95</v>
      </c>
      <c r="G33" s="2">
        <f>Table1[[#This Row],[Attended_Classes]]/Table1[[#This Row],[Total_Classes]]</f>
        <v>0.5625</v>
      </c>
      <c r="H33" t="str">
        <f>IF(Table1[[#This Row],[Attendance_%]]&lt;0.75,"Not Eligible","Eligible")</f>
        <v>Not Eligible</v>
      </c>
      <c r="I33" t="str">
        <f>_xlfn.XLOOKUP(Table1[[#This Row],[Student_ID]],Student_Master!$A:$A,Student_Master!$C:$C)</f>
        <v>CSE</v>
      </c>
      <c r="J33">
        <f>_xlfn.XLOOKUP(Table1[[#This Row],[Student_ID]],Student_Master!$A:$A,Student_Master!$D:$D)</f>
        <v>4</v>
      </c>
    </row>
    <row r="34" spans="1:10" x14ac:dyDescent="0.35">
      <c r="A34" t="s">
        <v>98</v>
      </c>
      <c r="B34" t="s">
        <v>20</v>
      </c>
      <c r="C34" t="s">
        <v>10</v>
      </c>
      <c r="D34">
        <v>44</v>
      </c>
      <c r="E34">
        <v>44</v>
      </c>
      <c r="F34">
        <v>88</v>
      </c>
      <c r="G34" s="3">
        <f>Table1[[#This Row],[Attended_Classes]]/Table1[[#This Row],[Total_Classes]]</f>
        <v>1</v>
      </c>
      <c r="H34" t="str">
        <f>IF(Table1[[#This Row],[Attendance_%]]&lt;0.75,"Not Eligible","Eligible")</f>
        <v>Eligible</v>
      </c>
      <c r="I34" t="str">
        <f>_xlfn.XLOOKUP(Table1[[#This Row],[Student_ID]],Student_Master!$A:$A,Student_Master!$C:$C)</f>
        <v>CE</v>
      </c>
      <c r="J34">
        <f>_xlfn.XLOOKUP(Table1[[#This Row],[Student_ID]],Student_Master!$A:$A,Student_Master!$D:$D)</f>
        <v>1</v>
      </c>
    </row>
    <row r="35" spans="1:10" x14ac:dyDescent="0.35">
      <c r="A35" t="s">
        <v>99</v>
      </c>
      <c r="B35" t="s">
        <v>21</v>
      </c>
      <c r="C35" t="s">
        <v>7</v>
      </c>
      <c r="D35">
        <v>32</v>
      </c>
      <c r="E35">
        <v>18</v>
      </c>
      <c r="F35">
        <v>40</v>
      </c>
      <c r="G35" s="2">
        <f>Table1[[#This Row],[Attended_Classes]]/Table1[[#This Row],[Total_Classes]]</f>
        <v>0.5625</v>
      </c>
      <c r="H35" t="str">
        <f>IF(Table1[[#This Row],[Attendance_%]]&lt;0.75,"Not Eligible","Eligible")</f>
        <v>Not Eligible</v>
      </c>
      <c r="I35" t="str">
        <f>_xlfn.XLOOKUP(Table1[[#This Row],[Student_ID]],Student_Master!$A:$A,Student_Master!$C:$C)</f>
        <v>ECE</v>
      </c>
      <c r="J35">
        <f>_xlfn.XLOOKUP(Table1[[#This Row],[Student_ID]],Student_Master!$A:$A,Student_Master!$D:$D)</f>
        <v>4</v>
      </c>
    </row>
    <row r="36" spans="1:10" x14ac:dyDescent="0.35">
      <c r="A36" t="s">
        <v>100</v>
      </c>
      <c r="B36" t="s">
        <v>21</v>
      </c>
      <c r="C36" t="s">
        <v>6</v>
      </c>
      <c r="D36">
        <v>29</v>
      </c>
      <c r="E36">
        <v>22</v>
      </c>
      <c r="F36">
        <v>83</v>
      </c>
      <c r="G36" s="3">
        <f>Table1[[#This Row],[Attended_Classes]]/Table1[[#This Row],[Total_Classes]]</f>
        <v>0.75862068965517238</v>
      </c>
      <c r="H36" t="str">
        <f>IF(Table1[[#This Row],[Attendance_%]]&lt;0.75,"Not Eligible","Eligible")</f>
        <v>Eligible</v>
      </c>
      <c r="I36" t="str">
        <f>_xlfn.XLOOKUP(Table1[[#This Row],[Student_ID]],Student_Master!$A:$A,Student_Master!$C:$C)</f>
        <v>ECE</v>
      </c>
      <c r="J36">
        <f>_xlfn.XLOOKUP(Table1[[#This Row],[Student_ID]],Student_Master!$A:$A,Student_Master!$D:$D)</f>
        <v>3</v>
      </c>
    </row>
    <row r="37" spans="1:10" x14ac:dyDescent="0.35">
      <c r="A37" t="s">
        <v>101</v>
      </c>
      <c r="B37" t="s">
        <v>21</v>
      </c>
      <c r="C37" t="s">
        <v>8</v>
      </c>
      <c r="D37">
        <v>33</v>
      </c>
      <c r="E37">
        <v>33</v>
      </c>
      <c r="F37">
        <v>94</v>
      </c>
      <c r="G37" s="2">
        <f>Table1[[#This Row],[Attended_Classes]]/Table1[[#This Row],[Total_Classes]]</f>
        <v>1</v>
      </c>
      <c r="H37" t="str">
        <f>IF(Table1[[#This Row],[Attendance_%]]&lt;0.75,"Not Eligible","Eligible")</f>
        <v>Eligible</v>
      </c>
      <c r="I37" t="str">
        <f>_xlfn.XLOOKUP(Table1[[#This Row],[Student_ID]],Student_Master!$A:$A,Student_Master!$C:$C)</f>
        <v>CSE</v>
      </c>
      <c r="J37">
        <f>_xlfn.XLOOKUP(Table1[[#This Row],[Student_ID]],Student_Master!$A:$A,Student_Master!$D:$D)</f>
        <v>3</v>
      </c>
    </row>
    <row r="38" spans="1:10" x14ac:dyDescent="0.35">
      <c r="A38" t="s">
        <v>102</v>
      </c>
      <c r="B38" t="s">
        <v>22</v>
      </c>
      <c r="C38" t="s">
        <v>6</v>
      </c>
      <c r="D38">
        <v>44</v>
      </c>
      <c r="E38">
        <v>23</v>
      </c>
      <c r="F38">
        <v>63</v>
      </c>
      <c r="G38" s="3">
        <f>Table1[[#This Row],[Attended_Classes]]/Table1[[#This Row],[Total_Classes]]</f>
        <v>0.52272727272727271</v>
      </c>
      <c r="H38" t="str">
        <f>IF(Table1[[#This Row],[Attendance_%]]&lt;0.75,"Not Eligible","Eligible")</f>
        <v>Not Eligible</v>
      </c>
      <c r="I38" t="str">
        <f>_xlfn.XLOOKUP(Table1[[#This Row],[Student_ID]],Student_Master!$A:$A,Student_Master!$C:$C)</f>
        <v>CE</v>
      </c>
      <c r="J38">
        <f>_xlfn.XLOOKUP(Table1[[#This Row],[Student_ID]],Student_Master!$A:$A,Student_Master!$D:$D)</f>
        <v>2</v>
      </c>
    </row>
    <row r="39" spans="1:10" x14ac:dyDescent="0.35">
      <c r="A39" t="s">
        <v>103</v>
      </c>
      <c r="B39" t="s">
        <v>22</v>
      </c>
      <c r="C39" t="s">
        <v>12</v>
      </c>
      <c r="D39">
        <v>32</v>
      </c>
      <c r="E39">
        <v>21</v>
      </c>
      <c r="F39">
        <v>73</v>
      </c>
      <c r="G39" s="2">
        <f>Table1[[#This Row],[Attended_Classes]]/Table1[[#This Row],[Total_Classes]]</f>
        <v>0.65625</v>
      </c>
      <c r="H39" t="str">
        <f>IF(Table1[[#This Row],[Attendance_%]]&lt;0.75,"Not Eligible","Eligible")</f>
        <v>Not Eligible</v>
      </c>
      <c r="I39" t="str">
        <f>_xlfn.XLOOKUP(Table1[[#This Row],[Student_ID]],Student_Master!$A:$A,Student_Master!$C:$C)</f>
        <v>CSE</v>
      </c>
      <c r="J39">
        <f>_xlfn.XLOOKUP(Table1[[#This Row],[Student_ID]],Student_Master!$A:$A,Student_Master!$D:$D)</f>
        <v>1</v>
      </c>
    </row>
    <row r="40" spans="1:10" x14ac:dyDescent="0.35">
      <c r="A40" t="s">
        <v>104</v>
      </c>
      <c r="B40" t="s">
        <v>22</v>
      </c>
      <c r="C40" t="s">
        <v>10</v>
      </c>
      <c r="D40">
        <v>33</v>
      </c>
      <c r="E40">
        <v>23</v>
      </c>
      <c r="F40">
        <v>50</v>
      </c>
      <c r="G40" s="3">
        <f>Table1[[#This Row],[Attended_Classes]]/Table1[[#This Row],[Total_Classes]]</f>
        <v>0.69696969696969702</v>
      </c>
      <c r="H40" t="str">
        <f>IF(Table1[[#This Row],[Attendance_%]]&lt;0.75,"Not Eligible","Eligible")</f>
        <v>Not Eligible</v>
      </c>
      <c r="I40" t="str">
        <f>_xlfn.XLOOKUP(Table1[[#This Row],[Student_ID]],Student_Master!$A:$A,Student_Master!$C:$C)</f>
        <v>CSE</v>
      </c>
      <c r="J40">
        <f>_xlfn.XLOOKUP(Table1[[#This Row],[Student_ID]],Student_Master!$A:$A,Student_Master!$D:$D)</f>
        <v>4</v>
      </c>
    </row>
    <row r="41" spans="1:10" x14ac:dyDescent="0.35">
      <c r="A41" t="s">
        <v>105</v>
      </c>
      <c r="B41" t="s">
        <v>23</v>
      </c>
      <c r="C41" t="s">
        <v>8</v>
      </c>
      <c r="D41">
        <v>43</v>
      </c>
      <c r="E41">
        <v>20</v>
      </c>
      <c r="F41">
        <v>59</v>
      </c>
      <c r="G41" s="2">
        <f>Table1[[#This Row],[Attended_Classes]]/Table1[[#This Row],[Total_Classes]]</f>
        <v>0.46511627906976744</v>
      </c>
      <c r="H41" t="str">
        <f>IF(Table1[[#This Row],[Attendance_%]]&lt;0.75,"Not Eligible","Eligible")</f>
        <v>Not Eligible</v>
      </c>
      <c r="I41" t="str">
        <f>_xlfn.XLOOKUP(Table1[[#This Row],[Student_ID]],Student_Master!$A:$A,Student_Master!$C:$C)</f>
        <v>ME</v>
      </c>
      <c r="J41">
        <f>_xlfn.XLOOKUP(Table1[[#This Row],[Student_ID]],Student_Master!$A:$A,Student_Master!$D:$D)</f>
        <v>2</v>
      </c>
    </row>
    <row r="42" spans="1:10" x14ac:dyDescent="0.35">
      <c r="A42" t="s">
        <v>106</v>
      </c>
      <c r="B42" t="s">
        <v>23</v>
      </c>
      <c r="C42" t="s">
        <v>12</v>
      </c>
      <c r="D42">
        <v>31</v>
      </c>
      <c r="E42">
        <v>20</v>
      </c>
      <c r="F42">
        <v>65</v>
      </c>
      <c r="G42" s="3">
        <f>Table1[[#This Row],[Attended_Classes]]/Table1[[#This Row],[Total_Classes]]</f>
        <v>0.64516129032258063</v>
      </c>
      <c r="H42" t="str">
        <f>IF(Table1[[#This Row],[Attendance_%]]&lt;0.75,"Not Eligible","Eligible")</f>
        <v>Not Eligible</v>
      </c>
      <c r="I42" t="str">
        <f>_xlfn.XLOOKUP(Table1[[#This Row],[Student_ID]],Student_Master!$A:$A,Student_Master!$C:$C)</f>
        <v>ME</v>
      </c>
      <c r="J42">
        <f>_xlfn.XLOOKUP(Table1[[#This Row],[Student_ID]],Student_Master!$A:$A,Student_Master!$D:$D)</f>
        <v>4</v>
      </c>
    </row>
    <row r="43" spans="1:10" x14ac:dyDescent="0.35">
      <c r="A43" t="s">
        <v>107</v>
      </c>
      <c r="B43" t="s">
        <v>23</v>
      </c>
      <c r="C43" t="s">
        <v>7</v>
      </c>
      <c r="D43">
        <v>30</v>
      </c>
      <c r="E43">
        <v>20</v>
      </c>
      <c r="F43">
        <v>59</v>
      </c>
      <c r="G43" s="2">
        <f>Table1[[#This Row],[Attended_Classes]]/Table1[[#This Row],[Total_Classes]]</f>
        <v>0.66666666666666663</v>
      </c>
      <c r="H43" t="str">
        <f>IF(Table1[[#This Row],[Attendance_%]]&lt;0.75,"Not Eligible","Eligible")</f>
        <v>Not Eligible</v>
      </c>
      <c r="I43" t="str">
        <f>_xlfn.XLOOKUP(Table1[[#This Row],[Student_ID]],Student_Master!$A:$A,Student_Master!$C:$C)</f>
        <v>ME</v>
      </c>
      <c r="J43">
        <f>_xlfn.XLOOKUP(Table1[[#This Row],[Student_ID]],Student_Master!$A:$A,Student_Master!$D:$D)</f>
        <v>4</v>
      </c>
    </row>
    <row r="44" spans="1:10" x14ac:dyDescent="0.35">
      <c r="A44" t="s">
        <v>108</v>
      </c>
      <c r="B44" t="s">
        <v>24</v>
      </c>
      <c r="C44" t="s">
        <v>7</v>
      </c>
      <c r="D44">
        <v>34</v>
      </c>
      <c r="E44">
        <v>25</v>
      </c>
      <c r="F44">
        <v>40</v>
      </c>
      <c r="G44" s="3">
        <f>Table1[[#This Row],[Attended_Classes]]/Table1[[#This Row],[Total_Classes]]</f>
        <v>0.73529411764705888</v>
      </c>
      <c r="H44" t="str">
        <f>IF(Table1[[#This Row],[Attendance_%]]&lt;0.75,"Not Eligible","Eligible")</f>
        <v>Not Eligible</v>
      </c>
      <c r="I44" t="str">
        <f>_xlfn.XLOOKUP(Table1[[#This Row],[Student_ID]],Student_Master!$A:$A,Student_Master!$C:$C)</f>
        <v>ECE</v>
      </c>
      <c r="J44">
        <f>_xlfn.XLOOKUP(Table1[[#This Row],[Student_ID]],Student_Master!$A:$A,Student_Master!$D:$D)</f>
        <v>2</v>
      </c>
    </row>
    <row r="45" spans="1:10" x14ac:dyDescent="0.35">
      <c r="A45" t="s">
        <v>109</v>
      </c>
      <c r="B45" t="s">
        <v>24</v>
      </c>
      <c r="C45" t="s">
        <v>12</v>
      </c>
      <c r="D45">
        <v>38</v>
      </c>
      <c r="E45">
        <v>35</v>
      </c>
      <c r="F45">
        <v>62</v>
      </c>
      <c r="G45" s="2">
        <f>Table1[[#This Row],[Attended_Classes]]/Table1[[#This Row],[Total_Classes]]</f>
        <v>0.92105263157894735</v>
      </c>
      <c r="H45" t="str">
        <f>IF(Table1[[#This Row],[Attendance_%]]&lt;0.75,"Not Eligible","Eligible")</f>
        <v>Eligible</v>
      </c>
      <c r="I45" t="str">
        <f>_xlfn.XLOOKUP(Table1[[#This Row],[Student_ID]],Student_Master!$A:$A,Student_Master!$C:$C)</f>
        <v>CE</v>
      </c>
      <c r="J45">
        <f>_xlfn.XLOOKUP(Table1[[#This Row],[Student_ID]],Student_Master!$A:$A,Student_Master!$D:$D)</f>
        <v>2</v>
      </c>
    </row>
    <row r="46" spans="1:10" x14ac:dyDescent="0.35">
      <c r="A46" t="s">
        <v>110</v>
      </c>
      <c r="B46" t="s">
        <v>24</v>
      </c>
      <c r="C46" t="s">
        <v>10</v>
      </c>
      <c r="D46">
        <v>37</v>
      </c>
      <c r="E46">
        <v>20</v>
      </c>
      <c r="F46">
        <v>46</v>
      </c>
      <c r="G46" s="3">
        <f>Table1[[#This Row],[Attended_Classes]]/Table1[[#This Row],[Total_Classes]]</f>
        <v>0.54054054054054057</v>
      </c>
      <c r="H46" t="str">
        <f>IF(Table1[[#This Row],[Attendance_%]]&lt;0.75,"Not Eligible","Eligible")</f>
        <v>Not Eligible</v>
      </c>
      <c r="I46" t="str">
        <f>_xlfn.XLOOKUP(Table1[[#This Row],[Student_ID]],Student_Master!$A:$A,Student_Master!$C:$C)</f>
        <v>CE</v>
      </c>
      <c r="J46">
        <f>_xlfn.XLOOKUP(Table1[[#This Row],[Student_ID]],Student_Master!$A:$A,Student_Master!$D:$D)</f>
        <v>2</v>
      </c>
    </row>
    <row r="47" spans="1:10" x14ac:dyDescent="0.35">
      <c r="A47" t="s">
        <v>111</v>
      </c>
      <c r="B47" t="s">
        <v>25</v>
      </c>
      <c r="C47" t="s">
        <v>6</v>
      </c>
      <c r="D47">
        <v>44</v>
      </c>
      <c r="E47">
        <v>19</v>
      </c>
      <c r="F47">
        <v>40</v>
      </c>
      <c r="G47" s="2">
        <f>Table1[[#This Row],[Attended_Classes]]/Table1[[#This Row],[Total_Classes]]</f>
        <v>0.43181818181818182</v>
      </c>
      <c r="H47" t="str">
        <f>IF(Table1[[#This Row],[Attendance_%]]&lt;0.75,"Not Eligible","Eligible")</f>
        <v>Not Eligible</v>
      </c>
      <c r="I47" t="str">
        <f>_xlfn.XLOOKUP(Table1[[#This Row],[Student_ID]],Student_Master!$A:$A,Student_Master!$C:$C)</f>
        <v>CE</v>
      </c>
      <c r="J47">
        <f>_xlfn.XLOOKUP(Table1[[#This Row],[Student_ID]],Student_Master!$A:$A,Student_Master!$D:$D)</f>
        <v>2</v>
      </c>
    </row>
    <row r="48" spans="1:10" x14ac:dyDescent="0.35">
      <c r="A48" t="s">
        <v>112</v>
      </c>
      <c r="B48" t="s">
        <v>25</v>
      </c>
      <c r="C48" t="s">
        <v>7</v>
      </c>
      <c r="D48">
        <v>43</v>
      </c>
      <c r="E48">
        <v>29</v>
      </c>
      <c r="F48">
        <v>44</v>
      </c>
      <c r="G48" s="3">
        <f>Table1[[#This Row],[Attended_Classes]]/Table1[[#This Row],[Total_Classes]]</f>
        <v>0.67441860465116277</v>
      </c>
      <c r="H48" t="str">
        <f>IF(Table1[[#This Row],[Attendance_%]]&lt;0.75,"Not Eligible","Eligible")</f>
        <v>Not Eligible</v>
      </c>
      <c r="I48" t="str">
        <f>_xlfn.XLOOKUP(Table1[[#This Row],[Student_ID]],Student_Master!$A:$A,Student_Master!$C:$C)</f>
        <v>CE</v>
      </c>
      <c r="J48">
        <f>_xlfn.XLOOKUP(Table1[[#This Row],[Student_ID]],Student_Master!$A:$A,Student_Master!$D:$D)</f>
        <v>2</v>
      </c>
    </row>
    <row r="49" spans="1:10" x14ac:dyDescent="0.35">
      <c r="A49" t="s">
        <v>113</v>
      </c>
      <c r="B49" t="s">
        <v>25</v>
      </c>
      <c r="C49" t="s">
        <v>12</v>
      </c>
      <c r="D49">
        <v>32</v>
      </c>
      <c r="E49">
        <v>28</v>
      </c>
      <c r="F49">
        <v>94</v>
      </c>
      <c r="G49" s="2">
        <f>Table1[[#This Row],[Attended_Classes]]/Table1[[#This Row],[Total_Classes]]</f>
        <v>0.875</v>
      </c>
      <c r="H49" t="str">
        <f>IF(Table1[[#This Row],[Attendance_%]]&lt;0.75,"Not Eligible","Eligible")</f>
        <v>Eligible</v>
      </c>
      <c r="I49" t="str">
        <f>_xlfn.XLOOKUP(Table1[[#This Row],[Student_ID]],Student_Master!$A:$A,Student_Master!$C:$C)</f>
        <v>ME</v>
      </c>
      <c r="J49">
        <f>_xlfn.XLOOKUP(Table1[[#This Row],[Student_ID]],Student_Master!$A:$A,Student_Master!$D:$D)</f>
        <v>4</v>
      </c>
    </row>
    <row r="50" spans="1:10" x14ac:dyDescent="0.35">
      <c r="A50" t="s">
        <v>114</v>
      </c>
      <c r="B50" t="s">
        <v>26</v>
      </c>
      <c r="C50" t="s">
        <v>12</v>
      </c>
      <c r="D50">
        <v>43</v>
      </c>
      <c r="E50">
        <v>33</v>
      </c>
      <c r="F50">
        <v>42</v>
      </c>
      <c r="G50" s="3">
        <f>Table1[[#This Row],[Attended_Classes]]/Table1[[#This Row],[Total_Classes]]</f>
        <v>0.76744186046511631</v>
      </c>
      <c r="H50" t="str">
        <f>IF(Table1[[#This Row],[Attendance_%]]&lt;0.75,"Not Eligible","Eligible")</f>
        <v>Eligible</v>
      </c>
      <c r="I50" t="str">
        <f>_xlfn.XLOOKUP(Table1[[#This Row],[Student_ID]],Student_Master!$A:$A,Student_Master!$C:$C)</f>
        <v>ECE</v>
      </c>
      <c r="J50">
        <f>_xlfn.XLOOKUP(Table1[[#This Row],[Student_ID]],Student_Master!$A:$A,Student_Master!$D:$D)</f>
        <v>2</v>
      </c>
    </row>
    <row r="51" spans="1:10" x14ac:dyDescent="0.35">
      <c r="A51" t="s">
        <v>115</v>
      </c>
      <c r="B51" t="s">
        <v>26</v>
      </c>
      <c r="C51" t="s">
        <v>8</v>
      </c>
      <c r="D51">
        <v>28</v>
      </c>
      <c r="E51">
        <v>25</v>
      </c>
      <c r="F51">
        <v>91</v>
      </c>
      <c r="G51" s="2">
        <f>Table1[[#This Row],[Attended_Classes]]/Table1[[#This Row],[Total_Classes]]</f>
        <v>0.8928571428571429</v>
      </c>
      <c r="H51" t="str">
        <f>IF(Table1[[#This Row],[Attendance_%]]&lt;0.75,"Not Eligible","Eligible")</f>
        <v>Eligible</v>
      </c>
      <c r="I51" t="str">
        <f>_xlfn.XLOOKUP(Table1[[#This Row],[Student_ID]],Student_Master!$A:$A,Student_Master!$C:$C)</f>
        <v>ECE</v>
      </c>
      <c r="J51">
        <f>_xlfn.XLOOKUP(Table1[[#This Row],[Student_ID]],Student_Master!$A:$A,Student_Master!$D:$D)</f>
        <v>1</v>
      </c>
    </row>
    <row r="52" spans="1:10" x14ac:dyDescent="0.35">
      <c r="B52" t="s">
        <v>26</v>
      </c>
      <c r="C52" t="s">
        <v>7</v>
      </c>
      <c r="D52">
        <v>38</v>
      </c>
      <c r="E52">
        <v>34</v>
      </c>
      <c r="F52">
        <v>47</v>
      </c>
      <c r="G52" s="3">
        <f>Table1[[#This Row],[Attended_Classes]]/Table1[[#This Row],[Total_Classes]]</f>
        <v>0.89473684210526316</v>
      </c>
      <c r="H52" t="str">
        <f>IF(Table1[[#This Row],[Attendance_%]]&lt;0.75,"Not Eligible","Eligible")</f>
        <v>Eligible</v>
      </c>
      <c r="I52">
        <f>_xlfn.XLOOKUP(Table1[[#This Row],[Student_ID]],Student_Master!$A:$A,Student_Master!$C:$C)</f>
        <v>0</v>
      </c>
      <c r="J52">
        <f>_xlfn.XLOOKUP(Table1[[#This Row],[Student_ID]],Student_Master!$A:$A,Student_Master!$D:$D)</f>
        <v>0</v>
      </c>
    </row>
    <row r="53" spans="1:10" x14ac:dyDescent="0.35">
      <c r="B53" t="s">
        <v>27</v>
      </c>
      <c r="C53" t="s">
        <v>7</v>
      </c>
      <c r="D53">
        <v>43</v>
      </c>
      <c r="E53">
        <v>42</v>
      </c>
      <c r="F53">
        <v>74</v>
      </c>
      <c r="G53" s="2">
        <f>Table1[[#This Row],[Attended_Classes]]/Table1[[#This Row],[Total_Classes]]</f>
        <v>0.97674418604651159</v>
      </c>
      <c r="H53" t="str">
        <f>IF(Table1[[#This Row],[Attendance_%]]&lt;0.75,"Not Eligible","Eligible")</f>
        <v>Eligible</v>
      </c>
      <c r="I53">
        <f>_xlfn.XLOOKUP(Table1[[#This Row],[Student_ID]],Student_Master!$A:$A,Student_Master!$C:$C)</f>
        <v>0</v>
      </c>
      <c r="J53">
        <f>_xlfn.XLOOKUP(Table1[[#This Row],[Student_ID]],Student_Master!$A:$A,Student_Master!$D:$D)</f>
        <v>0</v>
      </c>
    </row>
    <row r="54" spans="1:10" x14ac:dyDescent="0.35">
      <c r="B54" t="s">
        <v>27</v>
      </c>
      <c r="C54" t="s">
        <v>6</v>
      </c>
      <c r="D54">
        <v>41</v>
      </c>
      <c r="E54">
        <v>35</v>
      </c>
      <c r="F54">
        <v>41</v>
      </c>
      <c r="G54" s="3">
        <f>Table1[[#This Row],[Attended_Classes]]/Table1[[#This Row],[Total_Classes]]</f>
        <v>0.85365853658536583</v>
      </c>
      <c r="H54" t="str">
        <f>IF(Table1[[#This Row],[Attendance_%]]&lt;0.75,"Not Eligible","Eligible")</f>
        <v>Eligible</v>
      </c>
      <c r="I54">
        <f>_xlfn.XLOOKUP(Table1[[#This Row],[Student_ID]],Student_Master!$A:$A,Student_Master!$C:$C)</f>
        <v>0</v>
      </c>
      <c r="J54">
        <f>_xlfn.XLOOKUP(Table1[[#This Row],[Student_ID]],Student_Master!$A:$A,Student_Master!$D:$D)</f>
        <v>0</v>
      </c>
    </row>
    <row r="55" spans="1:10" x14ac:dyDescent="0.35">
      <c r="B55" t="s">
        <v>27</v>
      </c>
      <c r="C55" t="s">
        <v>10</v>
      </c>
      <c r="D55">
        <v>30</v>
      </c>
      <c r="E55">
        <v>30</v>
      </c>
      <c r="F55">
        <v>80</v>
      </c>
      <c r="G55" s="2">
        <f>Table1[[#This Row],[Attended_Classes]]/Table1[[#This Row],[Total_Classes]]</f>
        <v>1</v>
      </c>
      <c r="H55" t="str">
        <f>IF(Table1[[#This Row],[Attendance_%]]&lt;0.75,"Not Eligible","Eligible")</f>
        <v>Eligible</v>
      </c>
      <c r="I55">
        <f>_xlfn.XLOOKUP(Table1[[#This Row],[Student_ID]],Student_Master!$A:$A,Student_Master!$C:$C)</f>
        <v>0</v>
      </c>
      <c r="J55">
        <f>_xlfn.XLOOKUP(Table1[[#This Row],[Student_ID]],Student_Master!$A:$A,Student_Master!$D:$D)</f>
        <v>0</v>
      </c>
    </row>
    <row r="56" spans="1:10" x14ac:dyDescent="0.35">
      <c r="B56" t="s">
        <v>28</v>
      </c>
      <c r="C56" t="s">
        <v>7</v>
      </c>
      <c r="D56">
        <v>43</v>
      </c>
      <c r="E56">
        <v>37</v>
      </c>
      <c r="F56">
        <v>95</v>
      </c>
      <c r="G56" s="3">
        <f>Table1[[#This Row],[Attended_Classes]]/Table1[[#This Row],[Total_Classes]]</f>
        <v>0.86046511627906974</v>
      </c>
      <c r="H56" t="str">
        <f>IF(Table1[[#This Row],[Attendance_%]]&lt;0.75,"Not Eligible","Eligible")</f>
        <v>Eligible</v>
      </c>
      <c r="I56">
        <f>_xlfn.XLOOKUP(Table1[[#This Row],[Student_ID]],Student_Master!$A:$A,Student_Master!$C:$C)</f>
        <v>0</v>
      </c>
      <c r="J56">
        <f>_xlfn.XLOOKUP(Table1[[#This Row],[Student_ID]],Student_Master!$A:$A,Student_Master!$D:$D)</f>
        <v>0</v>
      </c>
    </row>
    <row r="57" spans="1:10" x14ac:dyDescent="0.35">
      <c r="B57" t="s">
        <v>28</v>
      </c>
      <c r="C57" t="s">
        <v>12</v>
      </c>
      <c r="D57">
        <v>35</v>
      </c>
      <c r="E57">
        <v>24</v>
      </c>
      <c r="F57">
        <v>42</v>
      </c>
      <c r="G57" s="2">
        <f>Table1[[#This Row],[Attended_Classes]]/Table1[[#This Row],[Total_Classes]]</f>
        <v>0.68571428571428572</v>
      </c>
      <c r="H57" t="str">
        <f>IF(Table1[[#This Row],[Attendance_%]]&lt;0.75,"Not Eligible","Eligible")</f>
        <v>Not Eligible</v>
      </c>
      <c r="I57">
        <f>_xlfn.XLOOKUP(Table1[[#This Row],[Student_ID]],Student_Master!$A:$A,Student_Master!$C:$C)</f>
        <v>0</v>
      </c>
      <c r="J57">
        <f>_xlfn.XLOOKUP(Table1[[#This Row],[Student_ID]],Student_Master!$A:$A,Student_Master!$D:$D)</f>
        <v>0</v>
      </c>
    </row>
    <row r="58" spans="1:10" x14ac:dyDescent="0.35">
      <c r="B58" t="s">
        <v>28</v>
      </c>
      <c r="C58" t="s">
        <v>10</v>
      </c>
      <c r="D58">
        <v>44</v>
      </c>
      <c r="E58">
        <v>18</v>
      </c>
      <c r="F58">
        <v>87</v>
      </c>
      <c r="G58" s="3">
        <f>Table1[[#This Row],[Attended_Classes]]/Table1[[#This Row],[Total_Classes]]</f>
        <v>0.40909090909090912</v>
      </c>
      <c r="H58" t="str">
        <f>IF(Table1[[#This Row],[Attendance_%]]&lt;0.75,"Not Eligible","Eligible")</f>
        <v>Not Eligible</v>
      </c>
      <c r="I58">
        <f>_xlfn.XLOOKUP(Table1[[#This Row],[Student_ID]],Student_Master!$A:$A,Student_Master!$C:$C)</f>
        <v>0</v>
      </c>
      <c r="J58">
        <f>_xlfn.XLOOKUP(Table1[[#This Row],[Student_ID]],Student_Master!$A:$A,Student_Master!$D:$D)</f>
        <v>0</v>
      </c>
    </row>
    <row r="59" spans="1:10" x14ac:dyDescent="0.35">
      <c r="B59" t="s">
        <v>29</v>
      </c>
      <c r="C59" t="s">
        <v>6</v>
      </c>
      <c r="D59">
        <v>41</v>
      </c>
      <c r="E59">
        <v>23</v>
      </c>
      <c r="F59">
        <v>77</v>
      </c>
      <c r="G59" s="2">
        <f>Table1[[#This Row],[Attended_Classes]]/Table1[[#This Row],[Total_Classes]]</f>
        <v>0.56097560975609762</v>
      </c>
      <c r="H59" t="str">
        <f>IF(Table1[[#This Row],[Attendance_%]]&lt;0.75,"Not Eligible","Eligible")</f>
        <v>Not Eligible</v>
      </c>
      <c r="I59">
        <f>_xlfn.XLOOKUP(Table1[[#This Row],[Student_ID]],Student_Master!$A:$A,Student_Master!$C:$C)</f>
        <v>0</v>
      </c>
      <c r="J59">
        <f>_xlfn.XLOOKUP(Table1[[#This Row],[Student_ID]],Student_Master!$A:$A,Student_Master!$D:$D)</f>
        <v>0</v>
      </c>
    </row>
    <row r="60" spans="1:10" x14ac:dyDescent="0.35">
      <c r="B60" t="s">
        <v>29</v>
      </c>
      <c r="C60" t="s">
        <v>12</v>
      </c>
      <c r="D60">
        <v>40</v>
      </c>
      <c r="E60">
        <v>36</v>
      </c>
      <c r="F60">
        <v>93</v>
      </c>
      <c r="G60" s="3">
        <f>Table1[[#This Row],[Attended_Classes]]/Table1[[#This Row],[Total_Classes]]</f>
        <v>0.9</v>
      </c>
      <c r="H60" t="str">
        <f>IF(Table1[[#This Row],[Attendance_%]]&lt;0.75,"Not Eligible","Eligible")</f>
        <v>Eligible</v>
      </c>
      <c r="I60">
        <f>_xlfn.XLOOKUP(Table1[[#This Row],[Student_ID]],Student_Master!$A:$A,Student_Master!$C:$C)</f>
        <v>0</v>
      </c>
      <c r="J60">
        <f>_xlfn.XLOOKUP(Table1[[#This Row],[Student_ID]],Student_Master!$A:$A,Student_Master!$D:$D)</f>
        <v>0</v>
      </c>
    </row>
    <row r="61" spans="1:10" x14ac:dyDescent="0.35">
      <c r="B61" t="s">
        <v>29</v>
      </c>
      <c r="C61" t="s">
        <v>10</v>
      </c>
      <c r="D61">
        <v>35</v>
      </c>
      <c r="E61">
        <v>19</v>
      </c>
      <c r="F61">
        <v>60</v>
      </c>
      <c r="G61" s="2">
        <f>Table1[[#This Row],[Attended_Classes]]/Table1[[#This Row],[Total_Classes]]</f>
        <v>0.54285714285714282</v>
      </c>
      <c r="H61" t="str">
        <f>IF(Table1[[#This Row],[Attendance_%]]&lt;0.75,"Not Eligible","Eligible")</f>
        <v>Not Eligible</v>
      </c>
      <c r="I61">
        <f>_xlfn.XLOOKUP(Table1[[#This Row],[Student_ID]],Student_Master!$A:$A,Student_Master!$C:$C)</f>
        <v>0</v>
      </c>
      <c r="J61">
        <f>_xlfn.XLOOKUP(Table1[[#This Row],[Student_ID]],Student_Master!$A:$A,Student_Master!$D:$D)</f>
        <v>0</v>
      </c>
    </row>
    <row r="62" spans="1:10" x14ac:dyDescent="0.35">
      <c r="B62" t="s">
        <v>30</v>
      </c>
      <c r="C62" t="s">
        <v>10</v>
      </c>
      <c r="D62">
        <v>28</v>
      </c>
      <c r="E62">
        <v>22</v>
      </c>
      <c r="F62">
        <v>99</v>
      </c>
      <c r="G62" s="3">
        <f>Table1[[#This Row],[Attended_Classes]]/Table1[[#This Row],[Total_Classes]]</f>
        <v>0.7857142857142857</v>
      </c>
      <c r="H62" t="str">
        <f>IF(Table1[[#This Row],[Attendance_%]]&lt;0.75,"Not Eligible","Eligible")</f>
        <v>Eligible</v>
      </c>
      <c r="I62">
        <f>_xlfn.XLOOKUP(Table1[[#This Row],[Student_ID]],Student_Master!$A:$A,Student_Master!$C:$C)</f>
        <v>0</v>
      </c>
      <c r="J62">
        <f>_xlfn.XLOOKUP(Table1[[#This Row],[Student_ID]],Student_Master!$A:$A,Student_Master!$D:$D)</f>
        <v>0</v>
      </c>
    </row>
    <row r="63" spans="1:10" x14ac:dyDescent="0.35">
      <c r="B63" t="s">
        <v>30</v>
      </c>
      <c r="C63" t="s">
        <v>12</v>
      </c>
      <c r="D63">
        <v>43</v>
      </c>
      <c r="E63">
        <v>36</v>
      </c>
      <c r="F63">
        <v>43</v>
      </c>
      <c r="G63" s="2">
        <f>Table1[[#This Row],[Attended_Classes]]/Table1[[#This Row],[Total_Classes]]</f>
        <v>0.83720930232558144</v>
      </c>
      <c r="H63" t="str">
        <f>IF(Table1[[#This Row],[Attendance_%]]&lt;0.75,"Not Eligible","Eligible")</f>
        <v>Eligible</v>
      </c>
      <c r="I63">
        <f>_xlfn.XLOOKUP(Table1[[#This Row],[Student_ID]],Student_Master!$A:$A,Student_Master!$C:$C)</f>
        <v>0</v>
      </c>
      <c r="J63">
        <f>_xlfn.XLOOKUP(Table1[[#This Row],[Student_ID]],Student_Master!$A:$A,Student_Master!$D:$D)</f>
        <v>0</v>
      </c>
    </row>
    <row r="64" spans="1:10" x14ac:dyDescent="0.35">
      <c r="B64" t="s">
        <v>30</v>
      </c>
      <c r="C64" t="s">
        <v>7</v>
      </c>
      <c r="D64">
        <v>30</v>
      </c>
      <c r="E64">
        <v>18</v>
      </c>
      <c r="F64">
        <v>56</v>
      </c>
      <c r="G64" s="3">
        <f>Table1[[#This Row],[Attended_Classes]]/Table1[[#This Row],[Total_Classes]]</f>
        <v>0.6</v>
      </c>
      <c r="H64" t="str">
        <f>IF(Table1[[#This Row],[Attendance_%]]&lt;0.75,"Not Eligible","Eligible")</f>
        <v>Not Eligible</v>
      </c>
      <c r="I64">
        <f>_xlfn.XLOOKUP(Table1[[#This Row],[Student_ID]],Student_Master!$A:$A,Student_Master!$C:$C)</f>
        <v>0</v>
      </c>
      <c r="J64">
        <f>_xlfn.XLOOKUP(Table1[[#This Row],[Student_ID]],Student_Master!$A:$A,Student_Master!$D:$D)</f>
        <v>0</v>
      </c>
    </row>
    <row r="65" spans="2:10" x14ac:dyDescent="0.35">
      <c r="B65" t="s">
        <v>31</v>
      </c>
      <c r="C65" t="s">
        <v>7</v>
      </c>
      <c r="D65">
        <v>41</v>
      </c>
      <c r="E65">
        <v>38</v>
      </c>
      <c r="F65">
        <v>45</v>
      </c>
      <c r="G65" s="2">
        <f>Table1[[#This Row],[Attended_Classes]]/Table1[[#This Row],[Total_Classes]]</f>
        <v>0.92682926829268297</v>
      </c>
      <c r="H65" t="str">
        <f>IF(Table1[[#This Row],[Attendance_%]]&lt;0.75,"Not Eligible","Eligible")</f>
        <v>Eligible</v>
      </c>
      <c r="I65">
        <f>_xlfn.XLOOKUP(Table1[[#This Row],[Student_ID]],Student_Master!$A:$A,Student_Master!$C:$C)</f>
        <v>0</v>
      </c>
      <c r="J65">
        <f>_xlfn.XLOOKUP(Table1[[#This Row],[Student_ID]],Student_Master!$A:$A,Student_Master!$D:$D)</f>
        <v>0</v>
      </c>
    </row>
    <row r="66" spans="2:10" x14ac:dyDescent="0.35">
      <c r="B66" t="s">
        <v>31</v>
      </c>
      <c r="C66" t="s">
        <v>6</v>
      </c>
      <c r="D66">
        <v>30</v>
      </c>
      <c r="E66">
        <v>29</v>
      </c>
      <c r="F66">
        <v>80</v>
      </c>
      <c r="G66" s="3">
        <f>Table1[[#This Row],[Attended_Classes]]/Table1[[#This Row],[Total_Classes]]</f>
        <v>0.96666666666666667</v>
      </c>
      <c r="H66" t="str">
        <f>IF(Table1[[#This Row],[Attendance_%]]&lt;0.75,"Not Eligible","Eligible")</f>
        <v>Eligible</v>
      </c>
      <c r="I66">
        <f>_xlfn.XLOOKUP(Table1[[#This Row],[Student_ID]],Student_Master!$A:$A,Student_Master!$C:$C)</f>
        <v>0</v>
      </c>
      <c r="J66">
        <f>_xlfn.XLOOKUP(Table1[[#This Row],[Student_ID]],Student_Master!$A:$A,Student_Master!$D:$D)</f>
        <v>0</v>
      </c>
    </row>
    <row r="67" spans="2:10" x14ac:dyDescent="0.35">
      <c r="B67" t="s">
        <v>31</v>
      </c>
      <c r="C67" t="s">
        <v>12</v>
      </c>
      <c r="D67">
        <v>32</v>
      </c>
      <c r="E67">
        <v>25</v>
      </c>
      <c r="F67">
        <v>68</v>
      </c>
      <c r="G67" s="2">
        <f>Table1[[#This Row],[Attended_Classes]]/Table1[[#This Row],[Total_Classes]]</f>
        <v>0.78125</v>
      </c>
      <c r="H67" t="str">
        <f>IF(Table1[[#This Row],[Attendance_%]]&lt;0.75,"Not Eligible","Eligible")</f>
        <v>Eligible</v>
      </c>
      <c r="I67">
        <f>_xlfn.XLOOKUP(Table1[[#This Row],[Student_ID]],Student_Master!$A:$A,Student_Master!$C:$C)</f>
        <v>0</v>
      </c>
      <c r="J67">
        <f>_xlfn.XLOOKUP(Table1[[#This Row],[Student_ID]],Student_Master!$A:$A,Student_Master!$D:$D)</f>
        <v>0</v>
      </c>
    </row>
    <row r="68" spans="2:10" x14ac:dyDescent="0.35">
      <c r="B68" t="s">
        <v>32</v>
      </c>
      <c r="C68" t="s">
        <v>8</v>
      </c>
      <c r="D68">
        <v>30</v>
      </c>
      <c r="E68">
        <v>29</v>
      </c>
      <c r="F68">
        <v>72</v>
      </c>
      <c r="G68" s="3">
        <f>Table1[[#This Row],[Attended_Classes]]/Table1[[#This Row],[Total_Classes]]</f>
        <v>0.96666666666666667</v>
      </c>
      <c r="H68" t="str">
        <f>IF(Table1[[#This Row],[Attendance_%]]&lt;0.75,"Not Eligible","Eligible")</f>
        <v>Eligible</v>
      </c>
      <c r="I68">
        <f>_xlfn.XLOOKUP(Table1[[#This Row],[Student_ID]],Student_Master!$A:$A,Student_Master!$C:$C)</f>
        <v>0</v>
      </c>
      <c r="J68">
        <f>_xlfn.XLOOKUP(Table1[[#This Row],[Student_ID]],Student_Master!$A:$A,Student_Master!$D:$D)</f>
        <v>0</v>
      </c>
    </row>
    <row r="69" spans="2:10" x14ac:dyDescent="0.35">
      <c r="B69" t="s">
        <v>32</v>
      </c>
      <c r="C69" t="s">
        <v>7</v>
      </c>
      <c r="D69">
        <v>28</v>
      </c>
      <c r="E69">
        <v>20</v>
      </c>
      <c r="F69">
        <v>57</v>
      </c>
      <c r="G69" s="2">
        <f>Table1[[#This Row],[Attended_Classes]]/Table1[[#This Row],[Total_Classes]]</f>
        <v>0.7142857142857143</v>
      </c>
      <c r="H69" t="str">
        <f>IF(Table1[[#This Row],[Attendance_%]]&lt;0.75,"Not Eligible","Eligible")</f>
        <v>Not Eligible</v>
      </c>
      <c r="I69">
        <f>_xlfn.XLOOKUP(Table1[[#This Row],[Student_ID]],Student_Master!$A:$A,Student_Master!$C:$C)</f>
        <v>0</v>
      </c>
      <c r="J69">
        <f>_xlfn.XLOOKUP(Table1[[#This Row],[Student_ID]],Student_Master!$A:$A,Student_Master!$D:$D)</f>
        <v>0</v>
      </c>
    </row>
    <row r="70" spans="2:10" x14ac:dyDescent="0.35">
      <c r="B70" t="s">
        <v>32</v>
      </c>
      <c r="C70" t="s">
        <v>10</v>
      </c>
      <c r="D70">
        <v>37</v>
      </c>
      <c r="E70">
        <v>20</v>
      </c>
      <c r="F70">
        <v>79</v>
      </c>
      <c r="G70" s="3">
        <f>Table1[[#This Row],[Attended_Classes]]/Table1[[#This Row],[Total_Classes]]</f>
        <v>0.54054054054054057</v>
      </c>
      <c r="H70" t="str">
        <f>IF(Table1[[#This Row],[Attendance_%]]&lt;0.75,"Not Eligible","Eligible")</f>
        <v>Not Eligible</v>
      </c>
      <c r="I70">
        <f>_xlfn.XLOOKUP(Table1[[#This Row],[Student_ID]],Student_Master!$A:$A,Student_Master!$C:$C)</f>
        <v>0</v>
      </c>
      <c r="J70">
        <f>_xlfn.XLOOKUP(Table1[[#This Row],[Student_ID]],Student_Master!$A:$A,Student_Master!$D:$D)</f>
        <v>0</v>
      </c>
    </row>
    <row r="71" spans="2:10" x14ac:dyDescent="0.35">
      <c r="B71" t="s">
        <v>33</v>
      </c>
      <c r="C71" t="s">
        <v>6</v>
      </c>
      <c r="D71">
        <v>29</v>
      </c>
      <c r="E71">
        <v>28</v>
      </c>
      <c r="F71">
        <v>81</v>
      </c>
      <c r="G71" s="2">
        <f>Table1[[#This Row],[Attended_Classes]]/Table1[[#This Row],[Total_Classes]]</f>
        <v>0.96551724137931039</v>
      </c>
      <c r="H71" t="str">
        <f>IF(Table1[[#This Row],[Attendance_%]]&lt;0.75,"Not Eligible","Eligible")</f>
        <v>Eligible</v>
      </c>
      <c r="I71">
        <f>_xlfn.XLOOKUP(Table1[[#This Row],[Student_ID]],Student_Master!$A:$A,Student_Master!$C:$C)</f>
        <v>0</v>
      </c>
      <c r="J71">
        <f>_xlfn.XLOOKUP(Table1[[#This Row],[Student_ID]],Student_Master!$A:$A,Student_Master!$D:$D)</f>
        <v>0</v>
      </c>
    </row>
    <row r="72" spans="2:10" x14ac:dyDescent="0.35">
      <c r="B72" t="s">
        <v>33</v>
      </c>
      <c r="C72" t="s">
        <v>10</v>
      </c>
      <c r="D72">
        <v>29</v>
      </c>
      <c r="E72">
        <v>27</v>
      </c>
      <c r="F72">
        <v>56</v>
      </c>
      <c r="G72" s="3">
        <f>Table1[[#This Row],[Attended_Classes]]/Table1[[#This Row],[Total_Classes]]</f>
        <v>0.93103448275862066</v>
      </c>
      <c r="H72" t="str">
        <f>IF(Table1[[#This Row],[Attendance_%]]&lt;0.75,"Not Eligible","Eligible")</f>
        <v>Eligible</v>
      </c>
      <c r="I72">
        <f>_xlfn.XLOOKUP(Table1[[#This Row],[Student_ID]],Student_Master!$A:$A,Student_Master!$C:$C)</f>
        <v>0</v>
      </c>
      <c r="J72">
        <f>_xlfn.XLOOKUP(Table1[[#This Row],[Student_ID]],Student_Master!$A:$A,Student_Master!$D:$D)</f>
        <v>0</v>
      </c>
    </row>
    <row r="73" spans="2:10" x14ac:dyDescent="0.35">
      <c r="B73" t="s">
        <v>33</v>
      </c>
      <c r="C73" t="s">
        <v>7</v>
      </c>
      <c r="D73">
        <v>35</v>
      </c>
      <c r="E73">
        <v>18</v>
      </c>
      <c r="F73">
        <v>48</v>
      </c>
      <c r="G73" s="2">
        <f>Table1[[#This Row],[Attended_Classes]]/Table1[[#This Row],[Total_Classes]]</f>
        <v>0.51428571428571423</v>
      </c>
      <c r="H73" t="str">
        <f>IF(Table1[[#This Row],[Attendance_%]]&lt;0.75,"Not Eligible","Eligible")</f>
        <v>Not Eligible</v>
      </c>
      <c r="I73">
        <f>_xlfn.XLOOKUP(Table1[[#This Row],[Student_ID]],Student_Master!$A:$A,Student_Master!$C:$C)</f>
        <v>0</v>
      </c>
      <c r="J73">
        <f>_xlfn.XLOOKUP(Table1[[#This Row],[Student_ID]],Student_Master!$A:$A,Student_Master!$D:$D)</f>
        <v>0</v>
      </c>
    </row>
    <row r="74" spans="2:10" x14ac:dyDescent="0.35">
      <c r="B74" t="s">
        <v>34</v>
      </c>
      <c r="C74" t="s">
        <v>8</v>
      </c>
      <c r="D74">
        <v>37</v>
      </c>
      <c r="E74">
        <v>20</v>
      </c>
      <c r="F74">
        <v>89</v>
      </c>
      <c r="G74" s="3">
        <f>Table1[[#This Row],[Attended_Classes]]/Table1[[#This Row],[Total_Classes]]</f>
        <v>0.54054054054054057</v>
      </c>
      <c r="H74" t="str">
        <f>IF(Table1[[#This Row],[Attendance_%]]&lt;0.75,"Not Eligible","Eligible")</f>
        <v>Not Eligible</v>
      </c>
      <c r="I74">
        <f>_xlfn.XLOOKUP(Table1[[#This Row],[Student_ID]],Student_Master!$A:$A,Student_Master!$C:$C)</f>
        <v>0</v>
      </c>
      <c r="J74">
        <f>_xlfn.XLOOKUP(Table1[[#This Row],[Student_ID]],Student_Master!$A:$A,Student_Master!$D:$D)</f>
        <v>0</v>
      </c>
    </row>
    <row r="75" spans="2:10" x14ac:dyDescent="0.35">
      <c r="B75" t="s">
        <v>34</v>
      </c>
      <c r="C75" t="s">
        <v>6</v>
      </c>
      <c r="D75">
        <v>40</v>
      </c>
      <c r="E75">
        <v>24</v>
      </c>
      <c r="F75">
        <v>96</v>
      </c>
      <c r="G75" s="2">
        <f>Table1[[#This Row],[Attended_Classes]]/Table1[[#This Row],[Total_Classes]]</f>
        <v>0.6</v>
      </c>
      <c r="H75" t="str">
        <f>IF(Table1[[#This Row],[Attendance_%]]&lt;0.75,"Not Eligible","Eligible")</f>
        <v>Not Eligible</v>
      </c>
      <c r="I75">
        <f>_xlfn.XLOOKUP(Table1[[#This Row],[Student_ID]],Student_Master!$A:$A,Student_Master!$C:$C)</f>
        <v>0</v>
      </c>
      <c r="J75">
        <f>_xlfn.XLOOKUP(Table1[[#This Row],[Student_ID]],Student_Master!$A:$A,Student_Master!$D:$D)</f>
        <v>0</v>
      </c>
    </row>
    <row r="76" spans="2:10" x14ac:dyDescent="0.35">
      <c r="B76" t="s">
        <v>34</v>
      </c>
      <c r="C76" t="s">
        <v>10</v>
      </c>
      <c r="D76">
        <v>31</v>
      </c>
      <c r="E76">
        <v>30</v>
      </c>
      <c r="F76">
        <v>59</v>
      </c>
      <c r="G76" s="3">
        <f>Table1[[#This Row],[Attended_Classes]]/Table1[[#This Row],[Total_Classes]]</f>
        <v>0.967741935483871</v>
      </c>
      <c r="H76" t="str">
        <f>IF(Table1[[#This Row],[Attendance_%]]&lt;0.75,"Not Eligible","Eligible")</f>
        <v>Eligible</v>
      </c>
      <c r="I76">
        <f>_xlfn.XLOOKUP(Table1[[#This Row],[Student_ID]],Student_Master!$A:$A,Student_Master!$C:$C)</f>
        <v>0</v>
      </c>
      <c r="J76">
        <f>_xlfn.XLOOKUP(Table1[[#This Row],[Student_ID]],Student_Master!$A:$A,Student_Master!$D:$D)</f>
        <v>0</v>
      </c>
    </row>
    <row r="77" spans="2:10" x14ac:dyDescent="0.35">
      <c r="B77" t="s">
        <v>35</v>
      </c>
      <c r="C77" t="s">
        <v>10</v>
      </c>
      <c r="D77">
        <v>41</v>
      </c>
      <c r="E77">
        <v>29</v>
      </c>
      <c r="F77">
        <v>90</v>
      </c>
      <c r="G77" s="2">
        <f>Table1[[#This Row],[Attended_Classes]]/Table1[[#This Row],[Total_Classes]]</f>
        <v>0.70731707317073167</v>
      </c>
      <c r="H77" t="str">
        <f>IF(Table1[[#This Row],[Attendance_%]]&lt;0.75,"Not Eligible","Eligible")</f>
        <v>Not Eligible</v>
      </c>
      <c r="I77">
        <f>_xlfn.XLOOKUP(Table1[[#This Row],[Student_ID]],Student_Master!$A:$A,Student_Master!$C:$C)</f>
        <v>0</v>
      </c>
      <c r="J77">
        <f>_xlfn.XLOOKUP(Table1[[#This Row],[Student_ID]],Student_Master!$A:$A,Student_Master!$D:$D)</f>
        <v>0</v>
      </c>
    </row>
    <row r="78" spans="2:10" x14ac:dyDescent="0.35">
      <c r="B78" t="s">
        <v>35</v>
      </c>
      <c r="C78" t="s">
        <v>7</v>
      </c>
      <c r="D78">
        <v>42</v>
      </c>
      <c r="E78">
        <v>19</v>
      </c>
      <c r="F78">
        <v>41</v>
      </c>
      <c r="G78" s="3">
        <f>Table1[[#This Row],[Attended_Classes]]/Table1[[#This Row],[Total_Classes]]</f>
        <v>0.45238095238095238</v>
      </c>
      <c r="H78" t="str">
        <f>IF(Table1[[#This Row],[Attendance_%]]&lt;0.75,"Not Eligible","Eligible")</f>
        <v>Not Eligible</v>
      </c>
      <c r="I78">
        <f>_xlfn.XLOOKUP(Table1[[#This Row],[Student_ID]],Student_Master!$A:$A,Student_Master!$C:$C)</f>
        <v>0</v>
      </c>
      <c r="J78">
        <f>_xlfn.XLOOKUP(Table1[[#This Row],[Student_ID]],Student_Master!$A:$A,Student_Master!$D:$D)</f>
        <v>0</v>
      </c>
    </row>
    <row r="79" spans="2:10" x14ac:dyDescent="0.35">
      <c r="B79" t="s">
        <v>35</v>
      </c>
      <c r="C79" t="s">
        <v>12</v>
      </c>
      <c r="D79">
        <v>44</v>
      </c>
      <c r="E79">
        <v>37</v>
      </c>
      <c r="F79">
        <v>81</v>
      </c>
      <c r="G79" s="2">
        <f>Table1[[#This Row],[Attended_Classes]]/Table1[[#This Row],[Total_Classes]]</f>
        <v>0.84090909090909094</v>
      </c>
      <c r="H79" t="str">
        <f>IF(Table1[[#This Row],[Attendance_%]]&lt;0.75,"Not Eligible","Eligible")</f>
        <v>Eligible</v>
      </c>
      <c r="I79">
        <f>_xlfn.XLOOKUP(Table1[[#This Row],[Student_ID]],Student_Master!$A:$A,Student_Master!$C:$C)</f>
        <v>0</v>
      </c>
      <c r="J79">
        <f>_xlfn.XLOOKUP(Table1[[#This Row],[Student_ID]],Student_Master!$A:$A,Student_Master!$D:$D)</f>
        <v>0</v>
      </c>
    </row>
    <row r="80" spans="2:10" x14ac:dyDescent="0.35">
      <c r="B80" t="s">
        <v>36</v>
      </c>
      <c r="C80" t="s">
        <v>12</v>
      </c>
      <c r="D80">
        <v>35</v>
      </c>
      <c r="E80">
        <v>29</v>
      </c>
      <c r="F80">
        <v>83</v>
      </c>
      <c r="G80" s="3">
        <f>Table1[[#This Row],[Attended_Classes]]/Table1[[#This Row],[Total_Classes]]</f>
        <v>0.82857142857142863</v>
      </c>
      <c r="H80" t="str">
        <f>IF(Table1[[#This Row],[Attendance_%]]&lt;0.75,"Not Eligible","Eligible")</f>
        <v>Eligible</v>
      </c>
      <c r="I80">
        <f>_xlfn.XLOOKUP(Table1[[#This Row],[Student_ID]],Student_Master!$A:$A,Student_Master!$C:$C)</f>
        <v>0</v>
      </c>
      <c r="J80">
        <f>_xlfn.XLOOKUP(Table1[[#This Row],[Student_ID]],Student_Master!$A:$A,Student_Master!$D:$D)</f>
        <v>0</v>
      </c>
    </row>
    <row r="81" spans="2:10" x14ac:dyDescent="0.35">
      <c r="B81" t="s">
        <v>36</v>
      </c>
      <c r="C81" t="s">
        <v>10</v>
      </c>
      <c r="D81">
        <v>32</v>
      </c>
      <c r="E81">
        <v>24</v>
      </c>
      <c r="F81">
        <v>43</v>
      </c>
      <c r="G81" s="2">
        <f>Table1[[#This Row],[Attended_Classes]]/Table1[[#This Row],[Total_Classes]]</f>
        <v>0.75</v>
      </c>
      <c r="H81" t="str">
        <f>IF(Table1[[#This Row],[Attendance_%]]&lt;0.75,"Not Eligible","Eligible")</f>
        <v>Eligible</v>
      </c>
      <c r="I81">
        <f>_xlfn.XLOOKUP(Table1[[#This Row],[Student_ID]],Student_Master!$A:$A,Student_Master!$C:$C)</f>
        <v>0</v>
      </c>
      <c r="J81">
        <f>_xlfn.XLOOKUP(Table1[[#This Row],[Student_ID]],Student_Master!$A:$A,Student_Master!$D:$D)</f>
        <v>0</v>
      </c>
    </row>
    <row r="82" spans="2:10" x14ac:dyDescent="0.35">
      <c r="B82" t="s">
        <v>36</v>
      </c>
      <c r="C82" t="s">
        <v>6</v>
      </c>
      <c r="D82">
        <v>33</v>
      </c>
      <c r="E82">
        <v>30</v>
      </c>
      <c r="F82">
        <v>71</v>
      </c>
      <c r="G82" s="3">
        <f>Table1[[#This Row],[Attended_Classes]]/Table1[[#This Row],[Total_Classes]]</f>
        <v>0.90909090909090906</v>
      </c>
      <c r="H82" t="str">
        <f>IF(Table1[[#This Row],[Attendance_%]]&lt;0.75,"Not Eligible","Eligible")</f>
        <v>Eligible</v>
      </c>
      <c r="I82">
        <f>_xlfn.XLOOKUP(Table1[[#This Row],[Student_ID]],Student_Master!$A:$A,Student_Master!$C:$C)</f>
        <v>0</v>
      </c>
      <c r="J82">
        <f>_xlfn.XLOOKUP(Table1[[#This Row],[Student_ID]],Student_Master!$A:$A,Student_Master!$D:$D)</f>
        <v>0</v>
      </c>
    </row>
    <row r="83" spans="2:10" x14ac:dyDescent="0.35">
      <c r="B83" t="s">
        <v>37</v>
      </c>
      <c r="C83" t="s">
        <v>10</v>
      </c>
      <c r="D83">
        <v>35</v>
      </c>
      <c r="E83">
        <v>33</v>
      </c>
      <c r="F83">
        <v>52</v>
      </c>
      <c r="G83" s="2">
        <f>Table1[[#This Row],[Attended_Classes]]/Table1[[#This Row],[Total_Classes]]</f>
        <v>0.94285714285714284</v>
      </c>
      <c r="H83" t="str">
        <f>IF(Table1[[#This Row],[Attendance_%]]&lt;0.75,"Not Eligible","Eligible")</f>
        <v>Eligible</v>
      </c>
      <c r="I83">
        <f>_xlfn.XLOOKUP(Table1[[#This Row],[Student_ID]],Student_Master!$A:$A,Student_Master!$C:$C)</f>
        <v>0</v>
      </c>
      <c r="J83">
        <f>_xlfn.XLOOKUP(Table1[[#This Row],[Student_ID]],Student_Master!$A:$A,Student_Master!$D:$D)</f>
        <v>0</v>
      </c>
    </row>
    <row r="84" spans="2:10" x14ac:dyDescent="0.35">
      <c r="B84" t="s">
        <v>37</v>
      </c>
      <c r="C84" t="s">
        <v>6</v>
      </c>
      <c r="D84">
        <v>37</v>
      </c>
      <c r="E84">
        <v>36</v>
      </c>
      <c r="F84">
        <v>56</v>
      </c>
      <c r="G84" s="3">
        <f>Table1[[#This Row],[Attended_Classes]]/Table1[[#This Row],[Total_Classes]]</f>
        <v>0.97297297297297303</v>
      </c>
      <c r="H84" t="str">
        <f>IF(Table1[[#This Row],[Attendance_%]]&lt;0.75,"Not Eligible","Eligible")</f>
        <v>Eligible</v>
      </c>
      <c r="I84">
        <f>_xlfn.XLOOKUP(Table1[[#This Row],[Student_ID]],Student_Master!$A:$A,Student_Master!$C:$C)</f>
        <v>0</v>
      </c>
      <c r="J84">
        <f>_xlfn.XLOOKUP(Table1[[#This Row],[Student_ID]],Student_Master!$A:$A,Student_Master!$D:$D)</f>
        <v>0</v>
      </c>
    </row>
    <row r="85" spans="2:10" x14ac:dyDescent="0.35">
      <c r="B85" t="s">
        <v>37</v>
      </c>
      <c r="C85" t="s">
        <v>7</v>
      </c>
      <c r="D85">
        <v>32</v>
      </c>
      <c r="E85">
        <v>27</v>
      </c>
      <c r="F85">
        <v>92</v>
      </c>
      <c r="G85" s="2">
        <f>Table1[[#This Row],[Attended_Classes]]/Table1[[#This Row],[Total_Classes]]</f>
        <v>0.84375</v>
      </c>
      <c r="H85" t="str">
        <f>IF(Table1[[#This Row],[Attendance_%]]&lt;0.75,"Not Eligible","Eligible")</f>
        <v>Eligible</v>
      </c>
      <c r="I85">
        <f>_xlfn.XLOOKUP(Table1[[#This Row],[Student_ID]],Student_Master!$A:$A,Student_Master!$C:$C)</f>
        <v>0</v>
      </c>
      <c r="J85">
        <f>_xlfn.XLOOKUP(Table1[[#This Row],[Student_ID]],Student_Master!$A:$A,Student_Master!$D:$D)</f>
        <v>0</v>
      </c>
    </row>
    <row r="86" spans="2:10" x14ac:dyDescent="0.35">
      <c r="B86" t="s">
        <v>38</v>
      </c>
      <c r="C86" t="s">
        <v>12</v>
      </c>
      <c r="D86">
        <v>28</v>
      </c>
      <c r="E86">
        <v>19</v>
      </c>
      <c r="F86">
        <v>71</v>
      </c>
      <c r="G86" s="3">
        <f>Table1[[#This Row],[Attended_Classes]]/Table1[[#This Row],[Total_Classes]]</f>
        <v>0.6785714285714286</v>
      </c>
      <c r="H86" t="str">
        <f>IF(Table1[[#This Row],[Attendance_%]]&lt;0.75,"Not Eligible","Eligible")</f>
        <v>Not Eligible</v>
      </c>
      <c r="I86">
        <f>_xlfn.XLOOKUP(Table1[[#This Row],[Student_ID]],Student_Master!$A:$A,Student_Master!$C:$C)</f>
        <v>0</v>
      </c>
      <c r="J86">
        <f>_xlfn.XLOOKUP(Table1[[#This Row],[Student_ID]],Student_Master!$A:$A,Student_Master!$D:$D)</f>
        <v>0</v>
      </c>
    </row>
    <row r="87" spans="2:10" x14ac:dyDescent="0.35">
      <c r="B87" t="s">
        <v>38</v>
      </c>
      <c r="C87" t="s">
        <v>7</v>
      </c>
      <c r="D87">
        <v>43</v>
      </c>
      <c r="E87">
        <v>42</v>
      </c>
      <c r="F87">
        <v>79</v>
      </c>
      <c r="G87" s="2">
        <f>Table1[[#This Row],[Attended_Classes]]/Table1[[#This Row],[Total_Classes]]</f>
        <v>0.97674418604651159</v>
      </c>
      <c r="H87" t="str">
        <f>IF(Table1[[#This Row],[Attendance_%]]&lt;0.75,"Not Eligible","Eligible")</f>
        <v>Eligible</v>
      </c>
      <c r="I87">
        <f>_xlfn.XLOOKUP(Table1[[#This Row],[Student_ID]],Student_Master!$A:$A,Student_Master!$C:$C)</f>
        <v>0</v>
      </c>
      <c r="J87">
        <f>_xlfn.XLOOKUP(Table1[[#This Row],[Student_ID]],Student_Master!$A:$A,Student_Master!$D:$D)</f>
        <v>0</v>
      </c>
    </row>
    <row r="88" spans="2:10" x14ac:dyDescent="0.35">
      <c r="B88" t="s">
        <v>38</v>
      </c>
      <c r="C88" t="s">
        <v>10</v>
      </c>
      <c r="D88">
        <v>40</v>
      </c>
      <c r="E88">
        <v>38</v>
      </c>
      <c r="F88">
        <v>40</v>
      </c>
      <c r="G88" s="3">
        <f>Table1[[#This Row],[Attended_Classes]]/Table1[[#This Row],[Total_Classes]]</f>
        <v>0.95</v>
      </c>
      <c r="H88" t="str">
        <f>IF(Table1[[#This Row],[Attendance_%]]&lt;0.75,"Not Eligible","Eligible")</f>
        <v>Eligible</v>
      </c>
      <c r="I88">
        <f>_xlfn.XLOOKUP(Table1[[#This Row],[Student_ID]],Student_Master!$A:$A,Student_Master!$C:$C)</f>
        <v>0</v>
      </c>
      <c r="J88">
        <f>_xlfn.XLOOKUP(Table1[[#This Row],[Student_ID]],Student_Master!$A:$A,Student_Master!$D:$D)</f>
        <v>0</v>
      </c>
    </row>
    <row r="89" spans="2:10" x14ac:dyDescent="0.35">
      <c r="B89" t="s">
        <v>39</v>
      </c>
      <c r="C89" t="s">
        <v>12</v>
      </c>
      <c r="D89">
        <v>30</v>
      </c>
      <c r="E89">
        <v>29</v>
      </c>
      <c r="F89">
        <v>65</v>
      </c>
      <c r="G89" s="2">
        <f>Table1[[#This Row],[Attended_Classes]]/Table1[[#This Row],[Total_Classes]]</f>
        <v>0.96666666666666667</v>
      </c>
      <c r="H89" t="str">
        <f>IF(Table1[[#This Row],[Attendance_%]]&lt;0.75,"Not Eligible","Eligible")</f>
        <v>Eligible</v>
      </c>
      <c r="I89">
        <f>_xlfn.XLOOKUP(Table1[[#This Row],[Student_ID]],Student_Master!$A:$A,Student_Master!$C:$C)</f>
        <v>0</v>
      </c>
      <c r="J89">
        <f>_xlfn.XLOOKUP(Table1[[#This Row],[Student_ID]],Student_Master!$A:$A,Student_Master!$D:$D)</f>
        <v>0</v>
      </c>
    </row>
    <row r="90" spans="2:10" x14ac:dyDescent="0.35">
      <c r="B90" t="s">
        <v>39</v>
      </c>
      <c r="C90" t="s">
        <v>6</v>
      </c>
      <c r="D90">
        <v>43</v>
      </c>
      <c r="E90">
        <v>36</v>
      </c>
      <c r="F90">
        <v>76</v>
      </c>
      <c r="G90" s="3">
        <f>Table1[[#This Row],[Attended_Classes]]/Table1[[#This Row],[Total_Classes]]</f>
        <v>0.83720930232558144</v>
      </c>
      <c r="H90" t="str">
        <f>IF(Table1[[#This Row],[Attendance_%]]&lt;0.75,"Not Eligible","Eligible")</f>
        <v>Eligible</v>
      </c>
      <c r="I90">
        <f>_xlfn.XLOOKUP(Table1[[#This Row],[Student_ID]],Student_Master!$A:$A,Student_Master!$C:$C)</f>
        <v>0</v>
      </c>
      <c r="J90">
        <f>_xlfn.XLOOKUP(Table1[[#This Row],[Student_ID]],Student_Master!$A:$A,Student_Master!$D:$D)</f>
        <v>0</v>
      </c>
    </row>
    <row r="91" spans="2:10" x14ac:dyDescent="0.35">
      <c r="B91" t="s">
        <v>39</v>
      </c>
      <c r="C91" t="s">
        <v>8</v>
      </c>
      <c r="D91">
        <v>41</v>
      </c>
      <c r="E91">
        <v>22</v>
      </c>
      <c r="F91">
        <v>86</v>
      </c>
      <c r="G91" s="2">
        <f>Table1[[#This Row],[Attended_Classes]]/Table1[[#This Row],[Total_Classes]]</f>
        <v>0.53658536585365857</v>
      </c>
      <c r="H91" t="str">
        <f>IF(Table1[[#This Row],[Attendance_%]]&lt;0.75,"Not Eligible","Eligible")</f>
        <v>Not Eligible</v>
      </c>
      <c r="I91">
        <f>_xlfn.XLOOKUP(Table1[[#This Row],[Student_ID]],Student_Master!$A:$A,Student_Master!$C:$C)</f>
        <v>0</v>
      </c>
      <c r="J91">
        <f>_xlfn.XLOOKUP(Table1[[#This Row],[Student_ID]],Student_Master!$A:$A,Student_Master!$D:$D)</f>
        <v>0</v>
      </c>
    </row>
    <row r="92" spans="2:10" x14ac:dyDescent="0.35">
      <c r="B92" t="s">
        <v>40</v>
      </c>
      <c r="C92" t="s">
        <v>10</v>
      </c>
      <c r="D92">
        <v>32</v>
      </c>
      <c r="E92">
        <v>29</v>
      </c>
      <c r="F92">
        <v>55</v>
      </c>
      <c r="G92" s="3">
        <f>Table1[[#This Row],[Attended_Classes]]/Table1[[#This Row],[Total_Classes]]</f>
        <v>0.90625</v>
      </c>
      <c r="H92" t="str">
        <f>IF(Table1[[#This Row],[Attendance_%]]&lt;0.75,"Not Eligible","Eligible")</f>
        <v>Eligible</v>
      </c>
      <c r="I92">
        <f>_xlfn.XLOOKUP(Table1[[#This Row],[Student_ID]],Student_Master!$A:$A,Student_Master!$C:$C)</f>
        <v>0</v>
      </c>
      <c r="J92">
        <f>_xlfn.XLOOKUP(Table1[[#This Row],[Student_ID]],Student_Master!$A:$A,Student_Master!$D:$D)</f>
        <v>0</v>
      </c>
    </row>
    <row r="93" spans="2:10" x14ac:dyDescent="0.35">
      <c r="B93" t="s">
        <v>40</v>
      </c>
      <c r="C93" t="s">
        <v>7</v>
      </c>
      <c r="D93">
        <v>43</v>
      </c>
      <c r="E93">
        <v>38</v>
      </c>
      <c r="F93">
        <v>78</v>
      </c>
      <c r="G93" s="2">
        <f>Table1[[#This Row],[Attended_Classes]]/Table1[[#This Row],[Total_Classes]]</f>
        <v>0.88372093023255816</v>
      </c>
      <c r="H93" t="str">
        <f>IF(Table1[[#This Row],[Attendance_%]]&lt;0.75,"Not Eligible","Eligible")</f>
        <v>Eligible</v>
      </c>
      <c r="I93">
        <f>_xlfn.XLOOKUP(Table1[[#This Row],[Student_ID]],Student_Master!$A:$A,Student_Master!$C:$C)</f>
        <v>0</v>
      </c>
      <c r="J93">
        <f>_xlfn.XLOOKUP(Table1[[#This Row],[Student_ID]],Student_Master!$A:$A,Student_Master!$D:$D)</f>
        <v>0</v>
      </c>
    </row>
    <row r="94" spans="2:10" x14ac:dyDescent="0.35">
      <c r="B94" t="s">
        <v>40</v>
      </c>
      <c r="C94" t="s">
        <v>8</v>
      </c>
      <c r="D94">
        <v>31</v>
      </c>
      <c r="E94">
        <v>18</v>
      </c>
      <c r="F94">
        <v>69</v>
      </c>
      <c r="G94" s="3">
        <f>Table1[[#This Row],[Attended_Classes]]/Table1[[#This Row],[Total_Classes]]</f>
        <v>0.58064516129032262</v>
      </c>
      <c r="H94" t="str">
        <f>IF(Table1[[#This Row],[Attendance_%]]&lt;0.75,"Not Eligible","Eligible")</f>
        <v>Not Eligible</v>
      </c>
      <c r="I94">
        <f>_xlfn.XLOOKUP(Table1[[#This Row],[Student_ID]],Student_Master!$A:$A,Student_Master!$C:$C)</f>
        <v>0</v>
      </c>
      <c r="J94">
        <f>_xlfn.XLOOKUP(Table1[[#This Row],[Student_ID]],Student_Master!$A:$A,Student_Master!$D:$D)</f>
        <v>0</v>
      </c>
    </row>
    <row r="95" spans="2:10" x14ac:dyDescent="0.35">
      <c r="B95" t="s">
        <v>41</v>
      </c>
      <c r="C95" t="s">
        <v>6</v>
      </c>
      <c r="D95">
        <v>32</v>
      </c>
      <c r="E95">
        <v>21</v>
      </c>
      <c r="F95">
        <v>73</v>
      </c>
      <c r="G95" s="2">
        <f>Table1[[#This Row],[Attended_Classes]]/Table1[[#This Row],[Total_Classes]]</f>
        <v>0.65625</v>
      </c>
      <c r="H95" t="str">
        <f>IF(Table1[[#This Row],[Attendance_%]]&lt;0.75,"Not Eligible","Eligible")</f>
        <v>Not Eligible</v>
      </c>
      <c r="I95">
        <f>_xlfn.XLOOKUP(Table1[[#This Row],[Student_ID]],Student_Master!$A:$A,Student_Master!$C:$C)</f>
        <v>0</v>
      </c>
      <c r="J95">
        <f>_xlfn.XLOOKUP(Table1[[#This Row],[Student_ID]],Student_Master!$A:$A,Student_Master!$D:$D)</f>
        <v>0</v>
      </c>
    </row>
    <row r="96" spans="2:10" x14ac:dyDescent="0.35">
      <c r="B96" t="s">
        <v>41</v>
      </c>
      <c r="C96" t="s">
        <v>8</v>
      </c>
      <c r="D96">
        <v>37</v>
      </c>
      <c r="E96">
        <v>36</v>
      </c>
      <c r="F96">
        <v>97</v>
      </c>
      <c r="G96" s="3">
        <f>Table1[[#This Row],[Attended_Classes]]/Table1[[#This Row],[Total_Classes]]</f>
        <v>0.97297297297297303</v>
      </c>
      <c r="H96" t="str">
        <f>IF(Table1[[#This Row],[Attendance_%]]&lt;0.75,"Not Eligible","Eligible")</f>
        <v>Eligible</v>
      </c>
      <c r="I96">
        <f>_xlfn.XLOOKUP(Table1[[#This Row],[Student_ID]],Student_Master!$A:$A,Student_Master!$C:$C)</f>
        <v>0</v>
      </c>
      <c r="J96">
        <f>_xlfn.XLOOKUP(Table1[[#This Row],[Student_ID]],Student_Master!$A:$A,Student_Master!$D:$D)</f>
        <v>0</v>
      </c>
    </row>
    <row r="97" spans="2:10" x14ac:dyDescent="0.35">
      <c r="B97" t="s">
        <v>41</v>
      </c>
      <c r="C97" t="s">
        <v>12</v>
      </c>
      <c r="D97">
        <v>28</v>
      </c>
      <c r="E97">
        <v>25</v>
      </c>
      <c r="F97">
        <v>44</v>
      </c>
      <c r="G97" s="2">
        <f>Table1[[#This Row],[Attended_Classes]]/Table1[[#This Row],[Total_Classes]]</f>
        <v>0.8928571428571429</v>
      </c>
      <c r="H97" t="str">
        <f>IF(Table1[[#This Row],[Attendance_%]]&lt;0.75,"Not Eligible","Eligible")</f>
        <v>Eligible</v>
      </c>
      <c r="I97">
        <f>_xlfn.XLOOKUP(Table1[[#This Row],[Student_ID]],Student_Master!$A:$A,Student_Master!$C:$C)</f>
        <v>0</v>
      </c>
      <c r="J97">
        <f>_xlfn.XLOOKUP(Table1[[#This Row],[Student_ID]],Student_Master!$A:$A,Student_Master!$D:$D)</f>
        <v>0</v>
      </c>
    </row>
    <row r="98" spans="2:10" x14ac:dyDescent="0.35">
      <c r="B98" t="s">
        <v>42</v>
      </c>
      <c r="C98" t="s">
        <v>6</v>
      </c>
      <c r="D98">
        <v>44</v>
      </c>
      <c r="E98">
        <v>44</v>
      </c>
      <c r="F98">
        <v>59</v>
      </c>
      <c r="G98" s="3">
        <f>Table1[[#This Row],[Attended_Classes]]/Table1[[#This Row],[Total_Classes]]</f>
        <v>1</v>
      </c>
      <c r="H98" t="str">
        <f>IF(Table1[[#This Row],[Attendance_%]]&lt;0.75,"Not Eligible","Eligible")</f>
        <v>Eligible</v>
      </c>
      <c r="I98">
        <f>_xlfn.XLOOKUP(Table1[[#This Row],[Student_ID]],Student_Master!$A:$A,Student_Master!$C:$C)</f>
        <v>0</v>
      </c>
      <c r="J98">
        <f>_xlfn.XLOOKUP(Table1[[#This Row],[Student_ID]],Student_Master!$A:$A,Student_Master!$D:$D)</f>
        <v>0</v>
      </c>
    </row>
    <row r="99" spans="2:10" x14ac:dyDescent="0.35">
      <c r="B99" t="s">
        <v>42</v>
      </c>
      <c r="C99" t="s">
        <v>12</v>
      </c>
      <c r="D99">
        <v>39</v>
      </c>
      <c r="E99">
        <v>35</v>
      </c>
      <c r="F99">
        <v>74</v>
      </c>
      <c r="G99" s="2">
        <f>Table1[[#This Row],[Attended_Classes]]/Table1[[#This Row],[Total_Classes]]</f>
        <v>0.89743589743589747</v>
      </c>
      <c r="H99" t="str">
        <f>IF(Table1[[#This Row],[Attendance_%]]&lt;0.75,"Not Eligible","Eligible")</f>
        <v>Eligible</v>
      </c>
      <c r="I99">
        <f>_xlfn.XLOOKUP(Table1[[#This Row],[Student_ID]],Student_Master!$A:$A,Student_Master!$C:$C)</f>
        <v>0</v>
      </c>
      <c r="J99">
        <f>_xlfn.XLOOKUP(Table1[[#This Row],[Student_ID]],Student_Master!$A:$A,Student_Master!$D:$D)</f>
        <v>0</v>
      </c>
    </row>
    <row r="100" spans="2:10" x14ac:dyDescent="0.35">
      <c r="B100" t="s">
        <v>42</v>
      </c>
      <c r="C100" t="s">
        <v>7</v>
      </c>
      <c r="D100">
        <v>28</v>
      </c>
      <c r="E100">
        <v>18</v>
      </c>
      <c r="F100">
        <v>100</v>
      </c>
      <c r="G100" s="3">
        <f>Table1[[#This Row],[Attended_Classes]]/Table1[[#This Row],[Total_Classes]]</f>
        <v>0.6428571428571429</v>
      </c>
      <c r="H100" t="str">
        <f>IF(Table1[[#This Row],[Attendance_%]]&lt;0.75,"Not Eligible","Eligible")</f>
        <v>Not Eligible</v>
      </c>
      <c r="I100">
        <f>_xlfn.XLOOKUP(Table1[[#This Row],[Student_ID]],Student_Master!$A:$A,Student_Master!$C:$C)</f>
        <v>0</v>
      </c>
      <c r="J100">
        <f>_xlfn.XLOOKUP(Table1[[#This Row],[Student_ID]],Student_Master!$A:$A,Student_Master!$D:$D)</f>
        <v>0</v>
      </c>
    </row>
    <row r="101" spans="2:10" x14ac:dyDescent="0.35">
      <c r="B101" t="s">
        <v>43</v>
      </c>
      <c r="C101" t="s">
        <v>8</v>
      </c>
      <c r="D101">
        <v>30</v>
      </c>
      <c r="E101">
        <v>18</v>
      </c>
      <c r="F101">
        <v>72</v>
      </c>
      <c r="G101" s="2">
        <f>Table1[[#This Row],[Attended_Classes]]/Table1[[#This Row],[Total_Classes]]</f>
        <v>0.6</v>
      </c>
      <c r="H101" t="str">
        <f>IF(Table1[[#This Row],[Attendance_%]]&lt;0.75,"Not Eligible","Eligible")</f>
        <v>Not Eligible</v>
      </c>
      <c r="I101">
        <f>_xlfn.XLOOKUP(Table1[[#This Row],[Student_ID]],Student_Master!$A:$A,Student_Master!$C:$C)</f>
        <v>0</v>
      </c>
      <c r="J101">
        <f>_xlfn.XLOOKUP(Table1[[#This Row],[Student_ID]],Student_Master!$A:$A,Student_Master!$D:$D)</f>
        <v>0</v>
      </c>
    </row>
    <row r="102" spans="2:10" x14ac:dyDescent="0.35">
      <c r="B102" t="s">
        <v>43</v>
      </c>
      <c r="C102" t="s">
        <v>12</v>
      </c>
      <c r="D102">
        <v>35</v>
      </c>
      <c r="E102">
        <v>27</v>
      </c>
      <c r="F102">
        <v>82</v>
      </c>
      <c r="G102" s="3">
        <f>Table1[[#This Row],[Attended_Classes]]/Table1[[#This Row],[Total_Classes]]</f>
        <v>0.77142857142857146</v>
      </c>
      <c r="H102" t="str">
        <f>IF(Table1[[#This Row],[Attendance_%]]&lt;0.75,"Not Eligible","Eligible")</f>
        <v>Eligible</v>
      </c>
      <c r="I102">
        <f>_xlfn.XLOOKUP(Table1[[#This Row],[Student_ID]],Student_Master!$A:$A,Student_Master!$C:$C)</f>
        <v>0</v>
      </c>
      <c r="J102">
        <f>_xlfn.XLOOKUP(Table1[[#This Row],[Student_ID]],Student_Master!$A:$A,Student_Master!$D:$D)</f>
        <v>0</v>
      </c>
    </row>
    <row r="103" spans="2:10" x14ac:dyDescent="0.35">
      <c r="B103" t="s">
        <v>43</v>
      </c>
      <c r="C103" t="s">
        <v>6</v>
      </c>
      <c r="D103">
        <v>39</v>
      </c>
      <c r="E103">
        <v>30</v>
      </c>
      <c r="F103">
        <v>51</v>
      </c>
      <c r="G103" s="2">
        <f>Table1[[#This Row],[Attended_Classes]]/Table1[[#This Row],[Total_Classes]]</f>
        <v>0.76923076923076927</v>
      </c>
      <c r="H103" t="str">
        <f>IF(Table1[[#This Row],[Attendance_%]]&lt;0.75,"Not Eligible","Eligible")</f>
        <v>Eligible</v>
      </c>
      <c r="I103">
        <f>_xlfn.XLOOKUP(Table1[[#This Row],[Student_ID]],Student_Master!$A:$A,Student_Master!$C:$C)</f>
        <v>0</v>
      </c>
      <c r="J103">
        <f>_xlfn.XLOOKUP(Table1[[#This Row],[Student_ID]],Student_Master!$A:$A,Student_Master!$D:$D)</f>
        <v>0</v>
      </c>
    </row>
    <row r="104" spans="2:10" x14ac:dyDescent="0.35">
      <c r="B104" t="s">
        <v>44</v>
      </c>
      <c r="C104" t="s">
        <v>8</v>
      </c>
      <c r="D104">
        <v>30</v>
      </c>
      <c r="E104">
        <v>24</v>
      </c>
      <c r="F104">
        <v>56</v>
      </c>
      <c r="G104" s="3">
        <f>Table1[[#This Row],[Attended_Classes]]/Table1[[#This Row],[Total_Classes]]</f>
        <v>0.8</v>
      </c>
      <c r="H104" t="str">
        <f>IF(Table1[[#This Row],[Attendance_%]]&lt;0.75,"Not Eligible","Eligible")</f>
        <v>Eligible</v>
      </c>
      <c r="I104">
        <f>_xlfn.XLOOKUP(Table1[[#This Row],[Student_ID]],Student_Master!$A:$A,Student_Master!$C:$C)</f>
        <v>0</v>
      </c>
      <c r="J104">
        <f>_xlfn.XLOOKUP(Table1[[#This Row],[Student_ID]],Student_Master!$A:$A,Student_Master!$D:$D)</f>
        <v>0</v>
      </c>
    </row>
    <row r="105" spans="2:10" x14ac:dyDescent="0.35">
      <c r="B105" t="s">
        <v>44</v>
      </c>
      <c r="C105" t="s">
        <v>10</v>
      </c>
      <c r="D105">
        <v>35</v>
      </c>
      <c r="E105">
        <v>27</v>
      </c>
      <c r="F105">
        <v>65</v>
      </c>
      <c r="G105" s="2">
        <f>Table1[[#This Row],[Attended_Classes]]/Table1[[#This Row],[Total_Classes]]</f>
        <v>0.77142857142857146</v>
      </c>
      <c r="H105" t="str">
        <f>IF(Table1[[#This Row],[Attendance_%]]&lt;0.75,"Not Eligible","Eligible")</f>
        <v>Eligible</v>
      </c>
      <c r="I105">
        <f>_xlfn.XLOOKUP(Table1[[#This Row],[Student_ID]],Student_Master!$A:$A,Student_Master!$C:$C)</f>
        <v>0</v>
      </c>
      <c r="J105">
        <f>_xlfn.XLOOKUP(Table1[[#This Row],[Student_ID]],Student_Master!$A:$A,Student_Master!$D:$D)</f>
        <v>0</v>
      </c>
    </row>
    <row r="106" spans="2:10" x14ac:dyDescent="0.35">
      <c r="B106" t="s">
        <v>44</v>
      </c>
      <c r="C106" t="s">
        <v>7</v>
      </c>
      <c r="D106">
        <v>29</v>
      </c>
      <c r="E106">
        <v>20</v>
      </c>
      <c r="F106">
        <v>80</v>
      </c>
      <c r="G106" s="3">
        <f>Table1[[#This Row],[Attended_Classes]]/Table1[[#This Row],[Total_Classes]]</f>
        <v>0.68965517241379315</v>
      </c>
      <c r="H106" t="str">
        <f>IF(Table1[[#This Row],[Attendance_%]]&lt;0.75,"Not Eligible","Eligible")</f>
        <v>Not Eligible</v>
      </c>
      <c r="I106">
        <f>_xlfn.XLOOKUP(Table1[[#This Row],[Student_ID]],Student_Master!$A:$A,Student_Master!$C:$C)</f>
        <v>0</v>
      </c>
      <c r="J106">
        <f>_xlfn.XLOOKUP(Table1[[#This Row],[Student_ID]],Student_Master!$A:$A,Student_Master!$D:$D)</f>
        <v>0</v>
      </c>
    </row>
    <row r="107" spans="2:10" x14ac:dyDescent="0.35">
      <c r="B107" t="s">
        <v>45</v>
      </c>
      <c r="C107" t="s">
        <v>7</v>
      </c>
      <c r="D107">
        <v>40</v>
      </c>
      <c r="E107">
        <v>28</v>
      </c>
      <c r="F107">
        <v>68</v>
      </c>
      <c r="G107" s="2">
        <f>Table1[[#This Row],[Attended_Classes]]/Table1[[#This Row],[Total_Classes]]</f>
        <v>0.7</v>
      </c>
      <c r="H107" t="str">
        <f>IF(Table1[[#This Row],[Attendance_%]]&lt;0.75,"Not Eligible","Eligible")</f>
        <v>Not Eligible</v>
      </c>
      <c r="I107">
        <f>_xlfn.XLOOKUP(Table1[[#This Row],[Student_ID]],Student_Master!$A:$A,Student_Master!$C:$C)</f>
        <v>0</v>
      </c>
      <c r="J107">
        <f>_xlfn.XLOOKUP(Table1[[#This Row],[Student_ID]],Student_Master!$A:$A,Student_Master!$D:$D)</f>
        <v>0</v>
      </c>
    </row>
    <row r="108" spans="2:10" x14ac:dyDescent="0.35">
      <c r="B108" t="s">
        <v>45</v>
      </c>
      <c r="C108" t="s">
        <v>10</v>
      </c>
      <c r="D108">
        <v>31</v>
      </c>
      <c r="E108">
        <v>26</v>
      </c>
      <c r="F108">
        <v>60</v>
      </c>
      <c r="G108" s="3">
        <f>Table1[[#This Row],[Attended_Classes]]/Table1[[#This Row],[Total_Classes]]</f>
        <v>0.83870967741935487</v>
      </c>
      <c r="H108" t="str">
        <f>IF(Table1[[#This Row],[Attendance_%]]&lt;0.75,"Not Eligible","Eligible")</f>
        <v>Eligible</v>
      </c>
      <c r="I108">
        <f>_xlfn.XLOOKUP(Table1[[#This Row],[Student_ID]],Student_Master!$A:$A,Student_Master!$C:$C)</f>
        <v>0</v>
      </c>
      <c r="J108">
        <f>_xlfn.XLOOKUP(Table1[[#This Row],[Student_ID]],Student_Master!$A:$A,Student_Master!$D:$D)</f>
        <v>0</v>
      </c>
    </row>
    <row r="109" spans="2:10" x14ac:dyDescent="0.35">
      <c r="B109" t="s">
        <v>45</v>
      </c>
      <c r="C109" t="s">
        <v>6</v>
      </c>
      <c r="D109">
        <v>31</v>
      </c>
      <c r="E109">
        <v>27</v>
      </c>
      <c r="F109">
        <v>76</v>
      </c>
      <c r="G109" s="2">
        <f>Table1[[#This Row],[Attended_Classes]]/Table1[[#This Row],[Total_Classes]]</f>
        <v>0.87096774193548387</v>
      </c>
      <c r="H109" t="str">
        <f>IF(Table1[[#This Row],[Attendance_%]]&lt;0.75,"Not Eligible","Eligible")</f>
        <v>Eligible</v>
      </c>
      <c r="I109">
        <f>_xlfn.XLOOKUP(Table1[[#This Row],[Student_ID]],Student_Master!$A:$A,Student_Master!$C:$C)</f>
        <v>0</v>
      </c>
      <c r="J109">
        <f>_xlfn.XLOOKUP(Table1[[#This Row],[Student_ID]],Student_Master!$A:$A,Student_Master!$D:$D)</f>
        <v>0</v>
      </c>
    </row>
    <row r="110" spans="2:10" x14ac:dyDescent="0.35">
      <c r="B110" t="s">
        <v>46</v>
      </c>
      <c r="C110" t="s">
        <v>12</v>
      </c>
      <c r="D110">
        <v>30</v>
      </c>
      <c r="E110">
        <v>21</v>
      </c>
      <c r="F110">
        <v>57</v>
      </c>
      <c r="G110" s="3">
        <f>Table1[[#This Row],[Attended_Classes]]/Table1[[#This Row],[Total_Classes]]</f>
        <v>0.7</v>
      </c>
      <c r="H110" t="str">
        <f>IF(Table1[[#This Row],[Attendance_%]]&lt;0.75,"Not Eligible","Eligible")</f>
        <v>Not Eligible</v>
      </c>
      <c r="I110">
        <f>_xlfn.XLOOKUP(Table1[[#This Row],[Student_ID]],Student_Master!$A:$A,Student_Master!$C:$C)</f>
        <v>0</v>
      </c>
      <c r="J110">
        <f>_xlfn.XLOOKUP(Table1[[#This Row],[Student_ID]],Student_Master!$A:$A,Student_Master!$D:$D)</f>
        <v>0</v>
      </c>
    </row>
    <row r="111" spans="2:10" x14ac:dyDescent="0.35">
      <c r="B111" t="s">
        <v>46</v>
      </c>
      <c r="C111" t="s">
        <v>10</v>
      </c>
      <c r="D111">
        <v>44</v>
      </c>
      <c r="E111">
        <v>24</v>
      </c>
      <c r="F111">
        <v>71</v>
      </c>
      <c r="G111" s="2">
        <f>Table1[[#This Row],[Attended_Classes]]/Table1[[#This Row],[Total_Classes]]</f>
        <v>0.54545454545454541</v>
      </c>
      <c r="H111" t="str">
        <f>IF(Table1[[#This Row],[Attendance_%]]&lt;0.75,"Not Eligible","Eligible")</f>
        <v>Not Eligible</v>
      </c>
      <c r="I111">
        <f>_xlfn.XLOOKUP(Table1[[#This Row],[Student_ID]],Student_Master!$A:$A,Student_Master!$C:$C)</f>
        <v>0</v>
      </c>
      <c r="J111">
        <f>_xlfn.XLOOKUP(Table1[[#This Row],[Student_ID]],Student_Master!$A:$A,Student_Master!$D:$D)</f>
        <v>0</v>
      </c>
    </row>
    <row r="112" spans="2:10" x14ac:dyDescent="0.35">
      <c r="B112" t="s">
        <v>46</v>
      </c>
      <c r="C112" t="s">
        <v>7</v>
      </c>
      <c r="D112">
        <v>32</v>
      </c>
      <c r="E112">
        <v>29</v>
      </c>
      <c r="F112">
        <v>88</v>
      </c>
      <c r="G112" s="3">
        <f>Table1[[#This Row],[Attended_Classes]]/Table1[[#This Row],[Total_Classes]]</f>
        <v>0.90625</v>
      </c>
      <c r="H112" t="str">
        <f>IF(Table1[[#This Row],[Attendance_%]]&lt;0.75,"Not Eligible","Eligible")</f>
        <v>Eligible</v>
      </c>
      <c r="I112">
        <f>_xlfn.XLOOKUP(Table1[[#This Row],[Student_ID]],Student_Master!$A:$A,Student_Master!$C:$C)</f>
        <v>0</v>
      </c>
      <c r="J112">
        <f>_xlfn.XLOOKUP(Table1[[#This Row],[Student_ID]],Student_Master!$A:$A,Student_Master!$D:$D)</f>
        <v>0</v>
      </c>
    </row>
    <row r="113" spans="2:10" x14ac:dyDescent="0.35">
      <c r="B113" t="s">
        <v>47</v>
      </c>
      <c r="C113" t="s">
        <v>12</v>
      </c>
      <c r="D113">
        <v>36</v>
      </c>
      <c r="E113">
        <v>34</v>
      </c>
      <c r="F113">
        <v>88</v>
      </c>
      <c r="G113" s="2">
        <f>Table1[[#This Row],[Attended_Classes]]/Table1[[#This Row],[Total_Classes]]</f>
        <v>0.94444444444444442</v>
      </c>
      <c r="H113" t="str">
        <f>IF(Table1[[#This Row],[Attendance_%]]&lt;0.75,"Not Eligible","Eligible")</f>
        <v>Eligible</v>
      </c>
      <c r="I113">
        <f>_xlfn.XLOOKUP(Table1[[#This Row],[Student_ID]],Student_Master!$A:$A,Student_Master!$C:$C)</f>
        <v>0</v>
      </c>
      <c r="J113">
        <f>_xlfn.XLOOKUP(Table1[[#This Row],[Student_ID]],Student_Master!$A:$A,Student_Master!$D:$D)</f>
        <v>0</v>
      </c>
    </row>
    <row r="114" spans="2:10" x14ac:dyDescent="0.35">
      <c r="B114" t="s">
        <v>47</v>
      </c>
      <c r="C114" t="s">
        <v>8</v>
      </c>
      <c r="D114">
        <v>43</v>
      </c>
      <c r="E114">
        <v>42</v>
      </c>
      <c r="F114">
        <v>61</v>
      </c>
      <c r="G114" s="3">
        <f>Table1[[#This Row],[Attended_Classes]]/Table1[[#This Row],[Total_Classes]]</f>
        <v>0.97674418604651159</v>
      </c>
      <c r="H114" t="str">
        <f>IF(Table1[[#This Row],[Attendance_%]]&lt;0.75,"Not Eligible","Eligible")</f>
        <v>Eligible</v>
      </c>
      <c r="I114">
        <f>_xlfn.XLOOKUP(Table1[[#This Row],[Student_ID]],Student_Master!$A:$A,Student_Master!$C:$C)</f>
        <v>0</v>
      </c>
      <c r="J114">
        <f>_xlfn.XLOOKUP(Table1[[#This Row],[Student_ID]],Student_Master!$A:$A,Student_Master!$D:$D)</f>
        <v>0</v>
      </c>
    </row>
    <row r="115" spans="2:10" x14ac:dyDescent="0.35">
      <c r="B115" t="s">
        <v>47</v>
      </c>
      <c r="C115" t="s">
        <v>6</v>
      </c>
      <c r="D115">
        <v>40</v>
      </c>
      <c r="E115">
        <v>36</v>
      </c>
      <c r="F115">
        <v>88</v>
      </c>
      <c r="G115" s="2">
        <f>Table1[[#This Row],[Attended_Classes]]/Table1[[#This Row],[Total_Classes]]</f>
        <v>0.9</v>
      </c>
      <c r="H115" t="str">
        <f>IF(Table1[[#This Row],[Attendance_%]]&lt;0.75,"Not Eligible","Eligible")</f>
        <v>Eligible</v>
      </c>
      <c r="I115">
        <f>_xlfn.XLOOKUP(Table1[[#This Row],[Student_ID]],Student_Master!$A:$A,Student_Master!$C:$C)</f>
        <v>0</v>
      </c>
      <c r="J115">
        <f>_xlfn.XLOOKUP(Table1[[#This Row],[Student_ID]],Student_Master!$A:$A,Student_Master!$D:$D)</f>
        <v>0</v>
      </c>
    </row>
    <row r="116" spans="2:10" x14ac:dyDescent="0.35">
      <c r="B116" t="s">
        <v>48</v>
      </c>
      <c r="C116" t="s">
        <v>12</v>
      </c>
      <c r="D116">
        <v>39</v>
      </c>
      <c r="E116">
        <v>26</v>
      </c>
      <c r="F116">
        <v>46</v>
      </c>
      <c r="G116" s="3">
        <f>Table1[[#This Row],[Attended_Classes]]/Table1[[#This Row],[Total_Classes]]</f>
        <v>0.66666666666666663</v>
      </c>
      <c r="H116" t="str">
        <f>IF(Table1[[#This Row],[Attendance_%]]&lt;0.75,"Not Eligible","Eligible")</f>
        <v>Not Eligible</v>
      </c>
      <c r="I116">
        <f>_xlfn.XLOOKUP(Table1[[#This Row],[Student_ID]],Student_Master!$A:$A,Student_Master!$C:$C)</f>
        <v>0</v>
      </c>
      <c r="J116">
        <f>_xlfn.XLOOKUP(Table1[[#This Row],[Student_ID]],Student_Master!$A:$A,Student_Master!$D:$D)</f>
        <v>0</v>
      </c>
    </row>
    <row r="117" spans="2:10" x14ac:dyDescent="0.35">
      <c r="B117" t="s">
        <v>48</v>
      </c>
      <c r="C117" t="s">
        <v>7</v>
      </c>
      <c r="D117">
        <v>41</v>
      </c>
      <c r="E117">
        <v>37</v>
      </c>
      <c r="F117">
        <v>58</v>
      </c>
      <c r="G117" s="2">
        <f>Table1[[#This Row],[Attended_Classes]]/Table1[[#This Row],[Total_Classes]]</f>
        <v>0.90243902439024393</v>
      </c>
      <c r="H117" t="str">
        <f>IF(Table1[[#This Row],[Attendance_%]]&lt;0.75,"Not Eligible","Eligible")</f>
        <v>Eligible</v>
      </c>
      <c r="I117">
        <f>_xlfn.XLOOKUP(Table1[[#This Row],[Student_ID]],Student_Master!$A:$A,Student_Master!$C:$C)</f>
        <v>0</v>
      </c>
      <c r="J117">
        <f>_xlfn.XLOOKUP(Table1[[#This Row],[Student_ID]],Student_Master!$A:$A,Student_Master!$D:$D)</f>
        <v>0</v>
      </c>
    </row>
    <row r="118" spans="2:10" x14ac:dyDescent="0.35">
      <c r="B118" t="s">
        <v>48</v>
      </c>
      <c r="C118" t="s">
        <v>6</v>
      </c>
      <c r="D118">
        <v>42</v>
      </c>
      <c r="E118">
        <v>33</v>
      </c>
      <c r="F118">
        <v>92</v>
      </c>
      <c r="G118" s="3">
        <f>Table1[[#This Row],[Attended_Classes]]/Table1[[#This Row],[Total_Classes]]</f>
        <v>0.7857142857142857</v>
      </c>
      <c r="H118" t="str">
        <f>IF(Table1[[#This Row],[Attendance_%]]&lt;0.75,"Not Eligible","Eligible")</f>
        <v>Eligible</v>
      </c>
      <c r="I118">
        <f>_xlfn.XLOOKUP(Table1[[#This Row],[Student_ID]],Student_Master!$A:$A,Student_Master!$C:$C)</f>
        <v>0</v>
      </c>
      <c r="J118">
        <f>_xlfn.XLOOKUP(Table1[[#This Row],[Student_ID]],Student_Master!$A:$A,Student_Master!$D:$D)</f>
        <v>0</v>
      </c>
    </row>
    <row r="119" spans="2:10" x14ac:dyDescent="0.35">
      <c r="B119" t="s">
        <v>49</v>
      </c>
      <c r="C119" t="s">
        <v>8</v>
      </c>
      <c r="D119">
        <v>31</v>
      </c>
      <c r="E119">
        <v>22</v>
      </c>
      <c r="F119">
        <v>62</v>
      </c>
      <c r="G119" s="2">
        <f>Table1[[#This Row],[Attended_Classes]]/Table1[[#This Row],[Total_Classes]]</f>
        <v>0.70967741935483875</v>
      </c>
      <c r="H119" t="str">
        <f>IF(Table1[[#This Row],[Attendance_%]]&lt;0.75,"Not Eligible","Eligible")</f>
        <v>Not Eligible</v>
      </c>
      <c r="I119">
        <f>_xlfn.XLOOKUP(Table1[[#This Row],[Student_ID]],Student_Master!$A:$A,Student_Master!$C:$C)</f>
        <v>0</v>
      </c>
      <c r="J119">
        <f>_xlfn.XLOOKUP(Table1[[#This Row],[Student_ID]],Student_Master!$A:$A,Student_Master!$D:$D)</f>
        <v>0</v>
      </c>
    </row>
    <row r="120" spans="2:10" x14ac:dyDescent="0.35">
      <c r="B120" t="s">
        <v>49</v>
      </c>
      <c r="C120" t="s">
        <v>12</v>
      </c>
      <c r="D120">
        <v>43</v>
      </c>
      <c r="E120">
        <v>42</v>
      </c>
      <c r="F120">
        <v>78</v>
      </c>
      <c r="G120" s="3">
        <f>Table1[[#This Row],[Attended_Classes]]/Table1[[#This Row],[Total_Classes]]</f>
        <v>0.97674418604651159</v>
      </c>
      <c r="H120" t="str">
        <f>IF(Table1[[#This Row],[Attendance_%]]&lt;0.75,"Not Eligible","Eligible")</f>
        <v>Eligible</v>
      </c>
      <c r="I120">
        <f>_xlfn.XLOOKUP(Table1[[#This Row],[Student_ID]],Student_Master!$A:$A,Student_Master!$C:$C)</f>
        <v>0</v>
      </c>
      <c r="J120">
        <f>_xlfn.XLOOKUP(Table1[[#This Row],[Student_ID]],Student_Master!$A:$A,Student_Master!$D:$D)</f>
        <v>0</v>
      </c>
    </row>
    <row r="121" spans="2:10" x14ac:dyDescent="0.35">
      <c r="B121" t="s">
        <v>49</v>
      </c>
      <c r="C121" t="s">
        <v>6</v>
      </c>
      <c r="D121">
        <v>40</v>
      </c>
      <c r="E121">
        <v>38</v>
      </c>
      <c r="F121">
        <v>81</v>
      </c>
      <c r="G121" s="2">
        <f>Table1[[#This Row],[Attended_Classes]]/Table1[[#This Row],[Total_Classes]]</f>
        <v>0.95</v>
      </c>
      <c r="H121" t="str">
        <f>IF(Table1[[#This Row],[Attendance_%]]&lt;0.75,"Not Eligible","Eligible")</f>
        <v>Eligible</v>
      </c>
      <c r="I121">
        <f>_xlfn.XLOOKUP(Table1[[#This Row],[Student_ID]],Student_Master!$A:$A,Student_Master!$C:$C)</f>
        <v>0</v>
      </c>
      <c r="J121">
        <f>_xlfn.XLOOKUP(Table1[[#This Row],[Student_ID]],Student_Master!$A:$A,Student_Master!$D:$D)</f>
        <v>0</v>
      </c>
    </row>
    <row r="122" spans="2:10" x14ac:dyDescent="0.35">
      <c r="B122" t="s">
        <v>50</v>
      </c>
      <c r="C122" t="s">
        <v>8</v>
      </c>
      <c r="D122">
        <v>32</v>
      </c>
      <c r="E122">
        <v>20</v>
      </c>
      <c r="F122">
        <v>62</v>
      </c>
      <c r="G122" s="3">
        <f>Table1[[#This Row],[Attended_Classes]]/Table1[[#This Row],[Total_Classes]]</f>
        <v>0.625</v>
      </c>
      <c r="H122" t="str">
        <f>IF(Table1[[#This Row],[Attendance_%]]&lt;0.75,"Not Eligible","Eligible")</f>
        <v>Not Eligible</v>
      </c>
      <c r="I122">
        <f>_xlfn.XLOOKUP(Table1[[#This Row],[Student_ID]],Student_Master!$A:$A,Student_Master!$C:$C)</f>
        <v>0</v>
      </c>
      <c r="J122">
        <f>_xlfn.XLOOKUP(Table1[[#This Row],[Student_ID]],Student_Master!$A:$A,Student_Master!$D:$D)</f>
        <v>0</v>
      </c>
    </row>
    <row r="123" spans="2:10" x14ac:dyDescent="0.35">
      <c r="B123" t="s">
        <v>50</v>
      </c>
      <c r="C123" t="s">
        <v>6</v>
      </c>
      <c r="D123">
        <v>38</v>
      </c>
      <c r="E123">
        <v>28</v>
      </c>
      <c r="F123">
        <v>57</v>
      </c>
      <c r="G123" s="2">
        <f>Table1[[#This Row],[Attended_Classes]]/Table1[[#This Row],[Total_Classes]]</f>
        <v>0.73684210526315785</v>
      </c>
      <c r="H123" t="str">
        <f>IF(Table1[[#This Row],[Attendance_%]]&lt;0.75,"Not Eligible","Eligible")</f>
        <v>Not Eligible</v>
      </c>
      <c r="I123">
        <f>_xlfn.XLOOKUP(Table1[[#This Row],[Student_ID]],Student_Master!$A:$A,Student_Master!$C:$C)</f>
        <v>0</v>
      </c>
      <c r="J123">
        <f>_xlfn.XLOOKUP(Table1[[#This Row],[Student_ID]],Student_Master!$A:$A,Student_Master!$D:$D)</f>
        <v>0</v>
      </c>
    </row>
    <row r="124" spans="2:10" x14ac:dyDescent="0.35">
      <c r="B124" t="s">
        <v>50</v>
      </c>
      <c r="C124" t="s">
        <v>10</v>
      </c>
      <c r="D124">
        <v>42</v>
      </c>
      <c r="E124">
        <v>29</v>
      </c>
      <c r="F124">
        <v>48</v>
      </c>
      <c r="G124" s="3">
        <f>Table1[[#This Row],[Attended_Classes]]/Table1[[#This Row],[Total_Classes]]</f>
        <v>0.69047619047619047</v>
      </c>
      <c r="H124" t="str">
        <f>IF(Table1[[#This Row],[Attendance_%]]&lt;0.75,"Not Eligible","Eligible")</f>
        <v>Not Eligible</v>
      </c>
      <c r="I124">
        <f>_xlfn.XLOOKUP(Table1[[#This Row],[Student_ID]],Student_Master!$A:$A,Student_Master!$C:$C)</f>
        <v>0</v>
      </c>
      <c r="J124">
        <f>_xlfn.XLOOKUP(Table1[[#This Row],[Student_ID]],Student_Master!$A:$A,Student_Master!$D:$D)</f>
        <v>0</v>
      </c>
    </row>
    <row r="125" spans="2:10" x14ac:dyDescent="0.35">
      <c r="B125" t="s">
        <v>51</v>
      </c>
      <c r="C125" t="s">
        <v>8</v>
      </c>
      <c r="D125">
        <v>33</v>
      </c>
      <c r="E125">
        <v>24</v>
      </c>
      <c r="F125">
        <v>85</v>
      </c>
      <c r="G125" s="2">
        <f>Table1[[#This Row],[Attended_Classes]]/Table1[[#This Row],[Total_Classes]]</f>
        <v>0.72727272727272729</v>
      </c>
      <c r="H125" t="str">
        <f>IF(Table1[[#This Row],[Attendance_%]]&lt;0.75,"Not Eligible","Eligible")</f>
        <v>Not Eligible</v>
      </c>
      <c r="I125">
        <f>_xlfn.XLOOKUP(Table1[[#This Row],[Student_ID]],Student_Master!$A:$A,Student_Master!$C:$C)</f>
        <v>0</v>
      </c>
      <c r="J125">
        <f>_xlfn.XLOOKUP(Table1[[#This Row],[Student_ID]],Student_Master!$A:$A,Student_Master!$D:$D)</f>
        <v>0</v>
      </c>
    </row>
    <row r="126" spans="2:10" x14ac:dyDescent="0.35">
      <c r="B126" t="s">
        <v>51</v>
      </c>
      <c r="C126" t="s">
        <v>7</v>
      </c>
      <c r="D126">
        <v>40</v>
      </c>
      <c r="E126">
        <v>25</v>
      </c>
      <c r="F126">
        <v>81</v>
      </c>
      <c r="G126" s="3">
        <f>Table1[[#This Row],[Attended_Classes]]/Table1[[#This Row],[Total_Classes]]</f>
        <v>0.625</v>
      </c>
      <c r="H126" t="str">
        <f>IF(Table1[[#This Row],[Attendance_%]]&lt;0.75,"Not Eligible","Eligible")</f>
        <v>Not Eligible</v>
      </c>
      <c r="I126">
        <f>_xlfn.XLOOKUP(Table1[[#This Row],[Student_ID]],Student_Master!$A:$A,Student_Master!$C:$C)</f>
        <v>0</v>
      </c>
      <c r="J126">
        <f>_xlfn.XLOOKUP(Table1[[#This Row],[Student_ID]],Student_Master!$A:$A,Student_Master!$D:$D)</f>
        <v>0</v>
      </c>
    </row>
    <row r="127" spans="2:10" x14ac:dyDescent="0.35">
      <c r="B127" t="s">
        <v>51</v>
      </c>
      <c r="C127" t="s">
        <v>6</v>
      </c>
      <c r="D127">
        <v>36</v>
      </c>
      <c r="E127">
        <v>35</v>
      </c>
      <c r="F127">
        <v>66</v>
      </c>
      <c r="G127" s="2">
        <f>Table1[[#This Row],[Attended_Classes]]/Table1[[#This Row],[Total_Classes]]</f>
        <v>0.97222222222222221</v>
      </c>
      <c r="H127" t="str">
        <f>IF(Table1[[#This Row],[Attendance_%]]&lt;0.75,"Not Eligible","Eligible")</f>
        <v>Eligible</v>
      </c>
      <c r="I127">
        <f>_xlfn.XLOOKUP(Table1[[#This Row],[Student_ID]],Student_Master!$A:$A,Student_Master!$C:$C)</f>
        <v>0</v>
      </c>
      <c r="J127">
        <f>_xlfn.XLOOKUP(Table1[[#This Row],[Student_ID]],Student_Master!$A:$A,Student_Master!$D:$D)</f>
        <v>0</v>
      </c>
    </row>
    <row r="128" spans="2:10" x14ac:dyDescent="0.35">
      <c r="B128" t="s">
        <v>52</v>
      </c>
      <c r="C128" t="s">
        <v>8</v>
      </c>
      <c r="D128">
        <v>32</v>
      </c>
      <c r="E128">
        <v>23</v>
      </c>
      <c r="F128">
        <v>58</v>
      </c>
      <c r="G128" s="3">
        <f>Table1[[#This Row],[Attended_Classes]]/Table1[[#This Row],[Total_Classes]]</f>
        <v>0.71875</v>
      </c>
      <c r="H128" t="str">
        <f>IF(Table1[[#This Row],[Attendance_%]]&lt;0.75,"Not Eligible","Eligible")</f>
        <v>Not Eligible</v>
      </c>
      <c r="I128">
        <f>_xlfn.XLOOKUP(Table1[[#This Row],[Student_ID]],Student_Master!$A:$A,Student_Master!$C:$C)</f>
        <v>0</v>
      </c>
      <c r="J128">
        <f>_xlfn.XLOOKUP(Table1[[#This Row],[Student_ID]],Student_Master!$A:$A,Student_Master!$D:$D)</f>
        <v>0</v>
      </c>
    </row>
    <row r="129" spans="2:10" x14ac:dyDescent="0.35">
      <c r="B129" t="s">
        <v>52</v>
      </c>
      <c r="C129" t="s">
        <v>7</v>
      </c>
      <c r="D129">
        <v>35</v>
      </c>
      <c r="E129">
        <v>33</v>
      </c>
      <c r="F129">
        <v>84</v>
      </c>
      <c r="G129" s="2">
        <f>Table1[[#This Row],[Attended_Classes]]/Table1[[#This Row],[Total_Classes]]</f>
        <v>0.94285714285714284</v>
      </c>
      <c r="H129" t="str">
        <f>IF(Table1[[#This Row],[Attendance_%]]&lt;0.75,"Not Eligible","Eligible")</f>
        <v>Eligible</v>
      </c>
      <c r="I129">
        <f>_xlfn.XLOOKUP(Table1[[#This Row],[Student_ID]],Student_Master!$A:$A,Student_Master!$C:$C)</f>
        <v>0</v>
      </c>
      <c r="J129">
        <f>_xlfn.XLOOKUP(Table1[[#This Row],[Student_ID]],Student_Master!$A:$A,Student_Master!$D:$D)</f>
        <v>0</v>
      </c>
    </row>
    <row r="130" spans="2:10" x14ac:dyDescent="0.35">
      <c r="B130" t="s">
        <v>52</v>
      </c>
      <c r="C130" t="s">
        <v>6</v>
      </c>
      <c r="D130">
        <v>28</v>
      </c>
      <c r="E130">
        <v>23</v>
      </c>
      <c r="F130">
        <v>91</v>
      </c>
      <c r="G130" s="3">
        <f>Table1[[#This Row],[Attended_Classes]]/Table1[[#This Row],[Total_Classes]]</f>
        <v>0.8214285714285714</v>
      </c>
      <c r="H130" t="str">
        <f>IF(Table1[[#This Row],[Attendance_%]]&lt;0.75,"Not Eligible","Eligible")</f>
        <v>Eligible</v>
      </c>
      <c r="I130">
        <f>_xlfn.XLOOKUP(Table1[[#This Row],[Student_ID]],Student_Master!$A:$A,Student_Master!$C:$C)</f>
        <v>0</v>
      </c>
      <c r="J130">
        <f>_xlfn.XLOOKUP(Table1[[#This Row],[Student_ID]],Student_Master!$A:$A,Student_Master!$D:$D)</f>
        <v>0</v>
      </c>
    </row>
    <row r="131" spans="2:10" x14ac:dyDescent="0.35">
      <c r="B131" t="s">
        <v>53</v>
      </c>
      <c r="C131" t="s">
        <v>12</v>
      </c>
      <c r="D131">
        <v>40</v>
      </c>
      <c r="E131">
        <v>21</v>
      </c>
      <c r="F131">
        <v>75</v>
      </c>
      <c r="G131" s="2">
        <f>Table1[[#This Row],[Attended_Classes]]/Table1[[#This Row],[Total_Classes]]</f>
        <v>0.52500000000000002</v>
      </c>
      <c r="H131" t="str">
        <f>IF(Table1[[#This Row],[Attendance_%]]&lt;0.75,"Not Eligible","Eligible")</f>
        <v>Not Eligible</v>
      </c>
      <c r="I131">
        <f>_xlfn.XLOOKUP(Table1[[#This Row],[Student_ID]],Student_Master!$A:$A,Student_Master!$C:$C)</f>
        <v>0</v>
      </c>
      <c r="J131">
        <f>_xlfn.XLOOKUP(Table1[[#This Row],[Student_ID]],Student_Master!$A:$A,Student_Master!$D:$D)</f>
        <v>0</v>
      </c>
    </row>
    <row r="132" spans="2:10" x14ac:dyDescent="0.35">
      <c r="B132" t="s">
        <v>53</v>
      </c>
      <c r="C132" t="s">
        <v>10</v>
      </c>
      <c r="D132">
        <v>33</v>
      </c>
      <c r="E132">
        <v>29</v>
      </c>
      <c r="F132">
        <v>70</v>
      </c>
      <c r="G132" s="3">
        <f>Table1[[#This Row],[Attended_Classes]]/Table1[[#This Row],[Total_Classes]]</f>
        <v>0.87878787878787878</v>
      </c>
      <c r="H132" t="str">
        <f>IF(Table1[[#This Row],[Attendance_%]]&lt;0.75,"Not Eligible","Eligible")</f>
        <v>Eligible</v>
      </c>
      <c r="I132">
        <f>_xlfn.XLOOKUP(Table1[[#This Row],[Student_ID]],Student_Master!$A:$A,Student_Master!$C:$C)</f>
        <v>0</v>
      </c>
      <c r="J132">
        <f>_xlfn.XLOOKUP(Table1[[#This Row],[Student_ID]],Student_Master!$A:$A,Student_Master!$D:$D)</f>
        <v>0</v>
      </c>
    </row>
    <row r="133" spans="2:10" x14ac:dyDescent="0.35">
      <c r="B133" t="s">
        <v>53</v>
      </c>
      <c r="C133" t="s">
        <v>8</v>
      </c>
      <c r="D133">
        <v>39</v>
      </c>
      <c r="E133">
        <v>39</v>
      </c>
      <c r="F133">
        <v>78</v>
      </c>
      <c r="G133" s="2">
        <f>Table1[[#This Row],[Attended_Classes]]/Table1[[#This Row],[Total_Classes]]</f>
        <v>1</v>
      </c>
      <c r="H133" t="str">
        <f>IF(Table1[[#This Row],[Attendance_%]]&lt;0.75,"Not Eligible","Eligible")</f>
        <v>Eligible</v>
      </c>
      <c r="I133">
        <f>_xlfn.XLOOKUP(Table1[[#This Row],[Student_ID]],Student_Master!$A:$A,Student_Master!$C:$C)</f>
        <v>0</v>
      </c>
      <c r="J133">
        <f>_xlfn.XLOOKUP(Table1[[#This Row],[Student_ID]],Student_Master!$A:$A,Student_Master!$D:$D)</f>
        <v>0</v>
      </c>
    </row>
    <row r="134" spans="2:10" x14ac:dyDescent="0.35">
      <c r="B134" t="s">
        <v>54</v>
      </c>
      <c r="C134" t="s">
        <v>10</v>
      </c>
      <c r="D134">
        <v>34</v>
      </c>
      <c r="E134">
        <v>20</v>
      </c>
      <c r="F134">
        <v>84</v>
      </c>
      <c r="G134" s="3">
        <f>Table1[[#This Row],[Attended_Classes]]/Table1[[#This Row],[Total_Classes]]</f>
        <v>0.58823529411764708</v>
      </c>
      <c r="H134" t="str">
        <f>IF(Table1[[#This Row],[Attendance_%]]&lt;0.75,"Not Eligible","Eligible")</f>
        <v>Not Eligible</v>
      </c>
      <c r="I134">
        <f>_xlfn.XLOOKUP(Table1[[#This Row],[Student_ID]],Student_Master!$A:$A,Student_Master!$C:$C)</f>
        <v>0</v>
      </c>
      <c r="J134">
        <f>_xlfn.XLOOKUP(Table1[[#This Row],[Student_ID]],Student_Master!$A:$A,Student_Master!$D:$D)</f>
        <v>0</v>
      </c>
    </row>
    <row r="135" spans="2:10" x14ac:dyDescent="0.35">
      <c r="B135" t="s">
        <v>54</v>
      </c>
      <c r="C135" t="s">
        <v>6</v>
      </c>
      <c r="D135">
        <v>40</v>
      </c>
      <c r="E135">
        <v>35</v>
      </c>
      <c r="F135">
        <v>67</v>
      </c>
      <c r="G135" s="2">
        <f>Table1[[#This Row],[Attended_Classes]]/Table1[[#This Row],[Total_Classes]]</f>
        <v>0.875</v>
      </c>
      <c r="H135" t="str">
        <f>IF(Table1[[#This Row],[Attendance_%]]&lt;0.75,"Not Eligible","Eligible")</f>
        <v>Eligible</v>
      </c>
      <c r="I135">
        <f>_xlfn.XLOOKUP(Table1[[#This Row],[Student_ID]],Student_Master!$A:$A,Student_Master!$C:$C)</f>
        <v>0</v>
      </c>
      <c r="J135">
        <f>_xlfn.XLOOKUP(Table1[[#This Row],[Student_ID]],Student_Master!$A:$A,Student_Master!$D:$D)</f>
        <v>0</v>
      </c>
    </row>
    <row r="136" spans="2:10" x14ac:dyDescent="0.35">
      <c r="B136" t="s">
        <v>54</v>
      </c>
      <c r="C136" t="s">
        <v>8</v>
      </c>
      <c r="D136">
        <v>35</v>
      </c>
      <c r="E136">
        <v>26</v>
      </c>
      <c r="F136">
        <v>78</v>
      </c>
      <c r="G136" s="3">
        <f>Table1[[#This Row],[Attended_Classes]]/Table1[[#This Row],[Total_Classes]]</f>
        <v>0.74285714285714288</v>
      </c>
      <c r="H136" t="str">
        <f>IF(Table1[[#This Row],[Attendance_%]]&lt;0.75,"Not Eligible","Eligible")</f>
        <v>Not Eligible</v>
      </c>
      <c r="I136">
        <f>_xlfn.XLOOKUP(Table1[[#This Row],[Student_ID]],Student_Master!$A:$A,Student_Master!$C:$C)</f>
        <v>0</v>
      </c>
      <c r="J136">
        <f>_xlfn.XLOOKUP(Table1[[#This Row],[Student_ID]],Student_Master!$A:$A,Student_Master!$D:$D)</f>
        <v>0</v>
      </c>
    </row>
    <row r="137" spans="2:10" x14ac:dyDescent="0.35">
      <c r="B137" t="s">
        <v>55</v>
      </c>
      <c r="C137" t="s">
        <v>8</v>
      </c>
      <c r="D137">
        <v>44</v>
      </c>
      <c r="E137">
        <v>42</v>
      </c>
      <c r="F137">
        <v>95</v>
      </c>
      <c r="G137" s="2">
        <f>Table1[[#This Row],[Attended_Classes]]/Table1[[#This Row],[Total_Classes]]</f>
        <v>0.95454545454545459</v>
      </c>
      <c r="H137" t="str">
        <f>IF(Table1[[#This Row],[Attendance_%]]&lt;0.75,"Not Eligible","Eligible")</f>
        <v>Eligible</v>
      </c>
      <c r="I137">
        <f>_xlfn.XLOOKUP(Table1[[#This Row],[Student_ID]],Student_Master!$A:$A,Student_Master!$C:$C)</f>
        <v>0</v>
      </c>
      <c r="J137">
        <f>_xlfn.XLOOKUP(Table1[[#This Row],[Student_ID]],Student_Master!$A:$A,Student_Master!$D:$D)</f>
        <v>0</v>
      </c>
    </row>
    <row r="138" spans="2:10" x14ac:dyDescent="0.35">
      <c r="B138" t="s">
        <v>55</v>
      </c>
      <c r="C138" t="s">
        <v>12</v>
      </c>
      <c r="D138">
        <v>28</v>
      </c>
      <c r="E138">
        <v>23</v>
      </c>
      <c r="F138">
        <v>92</v>
      </c>
      <c r="G138" s="3">
        <f>Table1[[#This Row],[Attended_Classes]]/Table1[[#This Row],[Total_Classes]]</f>
        <v>0.8214285714285714</v>
      </c>
      <c r="H138" t="str">
        <f>IF(Table1[[#This Row],[Attendance_%]]&lt;0.75,"Not Eligible","Eligible")</f>
        <v>Eligible</v>
      </c>
      <c r="I138">
        <f>_xlfn.XLOOKUP(Table1[[#This Row],[Student_ID]],Student_Master!$A:$A,Student_Master!$C:$C)</f>
        <v>0</v>
      </c>
      <c r="J138">
        <f>_xlfn.XLOOKUP(Table1[[#This Row],[Student_ID]],Student_Master!$A:$A,Student_Master!$D:$D)</f>
        <v>0</v>
      </c>
    </row>
    <row r="139" spans="2:10" x14ac:dyDescent="0.35">
      <c r="B139" t="s">
        <v>55</v>
      </c>
      <c r="C139" t="s">
        <v>10</v>
      </c>
      <c r="D139">
        <v>33</v>
      </c>
      <c r="E139">
        <v>27</v>
      </c>
      <c r="F139">
        <v>83</v>
      </c>
      <c r="G139" s="2">
        <f>Table1[[#This Row],[Attended_Classes]]/Table1[[#This Row],[Total_Classes]]</f>
        <v>0.81818181818181823</v>
      </c>
      <c r="H139" t="str">
        <f>IF(Table1[[#This Row],[Attendance_%]]&lt;0.75,"Not Eligible","Eligible")</f>
        <v>Eligible</v>
      </c>
      <c r="I139">
        <f>_xlfn.XLOOKUP(Table1[[#This Row],[Student_ID]],Student_Master!$A:$A,Student_Master!$C:$C)</f>
        <v>0</v>
      </c>
      <c r="J139">
        <f>_xlfn.XLOOKUP(Table1[[#This Row],[Student_ID]],Student_Master!$A:$A,Student_Master!$D:$D)</f>
        <v>0</v>
      </c>
    </row>
    <row r="140" spans="2:10" x14ac:dyDescent="0.35">
      <c r="B140" t="s">
        <v>56</v>
      </c>
      <c r="C140" t="s">
        <v>12</v>
      </c>
      <c r="D140">
        <v>42</v>
      </c>
      <c r="E140">
        <v>38</v>
      </c>
      <c r="F140">
        <v>55</v>
      </c>
      <c r="G140" s="3">
        <f>Table1[[#This Row],[Attended_Classes]]/Table1[[#This Row],[Total_Classes]]</f>
        <v>0.90476190476190477</v>
      </c>
      <c r="H140" t="str">
        <f>IF(Table1[[#This Row],[Attendance_%]]&lt;0.75,"Not Eligible","Eligible")</f>
        <v>Eligible</v>
      </c>
      <c r="I140">
        <f>_xlfn.XLOOKUP(Table1[[#This Row],[Student_ID]],Student_Master!$A:$A,Student_Master!$C:$C)</f>
        <v>0</v>
      </c>
      <c r="J140">
        <f>_xlfn.XLOOKUP(Table1[[#This Row],[Student_ID]],Student_Master!$A:$A,Student_Master!$D:$D)</f>
        <v>0</v>
      </c>
    </row>
    <row r="141" spans="2:10" x14ac:dyDescent="0.35">
      <c r="B141" t="s">
        <v>56</v>
      </c>
      <c r="C141" t="s">
        <v>7</v>
      </c>
      <c r="D141">
        <v>38</v>
      </c>
      <c r="E141">
        <v>22</v>
      </c>
      <c r="F141">
        <v>75</v>
      </c>
      <c r="G141" s="2">
        <f>Table1[[#This Row],[Attended_Classes]]/Table1[[#This Row],[Total_Classes]]</f>
        <v>0.57894736842105265</v>
      </c>
      <c r="H141" t="str">
        <f>IF(Table1[[#This Row],[Attendance_%]]&lt;0.75,"Not Eligible","Eligible")</f>
        <v>Not Eligible</v>
      </c>
      <c r="I141">
        <f>_xlfn.XLOOKUP(Table1[[#This Row],[Student_ID]],Student_Master!$A:$A,Student_Master!$C:$C)</f>
        <v>0</v>
      </c>
      <c r="J141">
        <f>_xlfn.XLOOKUP(Table1[[#This Row],[Student_ID]],Student_Master!$A:$A,Student_Master!$D:$D)</f>
        <v>0</v>
      </c>
    </row>
    <row r="142" spans="2:10" x14ac:dyDescent="0.35">
      <c r="B142" t="s">
        <v>56</v>
      </c>
      <c r="C142" t="s">
        <v>6</v>
      </c>
      <c r="D142">
        <v>30</v>
      </c>
      <c r="E142">
        <v>20</v>
      </c>
      <c r="F142">
        <v>59</v>
      </c>
      <c r="G142" s="3">
        <f>Table1[[#This Row],[Attended_Classes]]/Table1[[#This Row],[Total_Classes]]</f>
        <v>0.66666666666666663</v>
      </c>
      <c r="H142" t="str">
        <f>IF(Table1[[#This Row],[Attendance_%]]&lt;0.75,"Not Eligible","Eligible")</f>
        <v>Not Eligible</v>
      </c>
      <c r="I142">
        <f>_xlfn.XLOOKUP(Table1[[#This Row],[Student_ID]],Student_Master!$A:$A,Student_Master!$C:$C)</f>
        <v>0</v>
      </c>
      <c r="J142">
        <f>_xlfn.XLOOKUP(Table1[[#This Row],[Student_ID]],Student_Master!$A:$A,Student_Master!$D:$D)</f>
        <v>0</v>
      </c>
    </row>
    <row r="143" spans="2:10" x14ac:dyDescent="0.35">
      <c r="B143" t="s">
        <v>57</v>
      </c>
      <c r="C143" t="s">
        <v>8</v>
      </c>
      <c r="D143">
        <v>44</v>
      </c>
      <c r="E143">
        <v>31</v>
      </c>
      <c r="F143">
        <v>54</v>
      </c>
      <c r="G143" s="2">
        <f>Table1[[#This Row],[Attended_Classes]]/Table1[[#This Row],[Total_Classes]]</f>
        <v>0.70454545454545459</v>
      </c>
      <c r="H143" t="str">
        <f>IF(Table1[[#This Row],[Attendance_%]]&lt;0.75,"Not Eligible","Eligible")</f>
        <v>Not Eligible</v>
      </c>
      <c r="I143">
        <f>_xlfn.XLOOKUP(Table1[[#This Row],[Student_ID]],Student_Master!$A:$A,Student_Master!$C:$C)</f>
        <v>0</v>
      </c>
      <c r="J143">
        <f>_xlfn.XLOOKUP(Table1[[#This Row],[Student_ID]],Student_Master!$A:$A,Student_Master!$D:$D)</f>
        <v>0</v>
      </c>
    </row>
    <row r="144" spans="2:10" x14ac:dyDescent="0.35">
      <c r="B144" t="s">
        <v>57</v>
      </c>
      <c r="C144" t="s">
        <v>10</v>
      </c>
      <c r="D144">
        <v>28</v>
      </c>
      <c r="E144">
        <v>22</v>
      </c>
      <c r="F144">
        <v>93</v>
      </c>
      <c r="G144" s="3">
        <f>Table1[[#This Row],[Attended_Classes]]/Table1[[#This Row],[Total_Classes]]</f>
        <v>0.7857142857142857</v>
      </c>
      <c r="H144" t="str">
        <f>IF(Table1[[#This Row],[Attendance_%]]&lt;0.75,"Not Eligible","Eligible")</f>
        <v>Eligible</v>
      </c>
      <c r="I144">
        <f>_xlfn.XLOOKUP(Table1[[#This Row],[Student_ID]],Student_Master!$A:$A,Student_Master!$C:$C)</f>
        <v>0</v>
      </c>
      <c r="J144">
        <f>_xlfn.XLOOKUP(Table1[[#This Row],[Student_ID]],Student_Master!$A:$A,Student_Master!$D:$D)</f>
        <v>0</v>
      </c>
    </row>
    <row r="145" spans="2:10" x14ac:dyDescent="0.35">
      <c r="B145" t="s">
        <v>57</v>
      </c>
      <c r="C145" t="s">
        <v>7</v>
      </c>
      <c r="D145">
        <v>30</v>
      </c>
      <c r="E145">
        <v>24</v>
      </c>
      <c r="F145">
        <v>96</v>
      </c>
      <c r="G145" s="2">
        <f>Table1[[#This Row],[Attended_Classes]]/Table1[[#This Row],[Total_Classes]]</f>
        <v>0.8</v>
      </c>
      <c r="H145" t="str">
        <f>IF(Table1[[#This Row],[Attendance_%]]&lt;0.75,"Not Eligible","Eligible")</f>
        <v>Eligible</v>
      </c>
      <c r="I145">
        <f>_xlfn.XLOOKUP(Table1[[#This Row],[Student_ID]],Student_Master!$A:$A,Student_Master!$C:$C)</f>
        <v>0</v>
      </c>
      <c r="J145">
        <f>_xlfn.XLOOKUP(Table1[[#This Row],[Student_ID]],Student_Master!$A:$A,Student_Master!$D:$D)</f>
        <v>0</v>
      </c>
    </row>
    <row r="146" spans="2:10" x14ac:dyDescent="0.35">
      <c r="B146" t="s">
        <v>58</v>
      </c>
      <c r="C146" t="s">
        <v>6</v>
      </c>
      <c r="D146">
        <v>43</v>
      </c>
      <c r="E146">
        <v>25</v>
      </c>
      <c r="F146">
        <v>77</v>
      </c>
      <c r="G146" s="3">
        <f>Table1[[#This Row],[Attended_Classes]]/Table1[[#This Row],[Total_Classes]]</f>
        <v>0.58139534883720934</v>
      </c>
      <c r="H146" t="str">
        <f>IF(Table1[[#This Row],[Attendance_%]]&lt;0.75,"Not Eligible","Eligible")</f>
        <v>Not Eligible</v>
      </c>
      <c r="I146">
        <f>_xlfn.XLOOKUP(Table1[[#This Row],[Student_ID]],Student_Master!$A:$A,Student_Master!$C:$C)</f>
        <v>0</v>
      </c>
      <c r="J146">
        <f>_xlfn.XLOOKUP(Table1[[#This Row],[Student_ID]],Student_Master!$A:$A,Student_Master!$D:$D)</f>
        <v>0</v>
      </c>
    </row>
    <row r="147" spans="2:10" x14ac:dyDescent="0.35">
      <c r="B147" t="s">
        <v>58</v>
      </c>
      <c r="C147" t="s">
        <v>10</v>
      </c>
      <c r="D147">
        <v>39</v>
      </c>
      <c r="E147">
        <v>38</v>
      </c>
      <c r="F147">
        <v>47</v>
      </c>
      <c r="G147" s="2">
        <f>Table1[[#This Row],[Attended_Classes]]/Table1[[#This Row],[Total_Classes]]</f>
        <v>0.97435897435897434</v>
      </c>
      <c r="H147" t="str">
        <f>IF(Table1[[#This Row],[Attendance_%]]&lt;0.75,"Not Eligible","Eligible")</f>
        <v>Eligible</v>
      </c>
      <c r="I147">
        <f>_xlfn.XLOOKUP(Table1[[#This Row],[Student_ID]],Student_Master!$A:$A,Student_Master!$C:$C)</f>
        <v>0</v>
      </c>
      <c r="J147">
        <f>_xlfn.XLOOKUP(Table1[[#This Row],[Student_ID]],Student_Master!$A:$A,Student_Master!$D:$D)</f>
        <v>0</v>
      </c>
    </row>
    <row r="148" spans="2:10" x14ac:dyDescent="0.35">
      <c r="B148" t="s">
        <v>58</v>
      </c>
      <c r="C148" t="s">
        <v>12</v>
      </c>
      <c r="D148">
        <v>31</v>
      </c>
      <c r="E148">
        <v>27</v>
      </c>
      <c r="F148">
        <v>47</v>
      </c>
      <c r="G148" s="3">
        <f>Table1[[#This Row],[Attended_Classes]]/Table1[[#This Row],[Total_Classes]]</f>
        <v>0.87096774193548387</v>
      </c>
      <c r="H148" t="str">
        <f>IF(Table1[[#This Row],[Attendance_%]]&lt;0.75,"Not Eligible","Eligible")</f>
        <v>Eligible</v>
      </c>
      <c r="I148">
        <f>_xlfn.XLOOKUP(Table1[[#This Row],[Student_ID]],Student_Master!$A:$A,Student_Master!$C:$C)</f>
        <v>0</v>
      </c>
      <c r="J148">
        <f>_xlfn.XLOOKUP(Table1[[#This Row],[Student_ID]],Student_Master!$A:$A,Student_Master!$D:$D)</f>
        <v>0</v>
      </c>
    </row>
    <row r="149" spans="2:10" x14ac:dyDescent="0.35">
      <c r="B149" t="s">
        <v>59</v>
      </c>
      <c r="C149" t="s">
        <v>6</v>
      </c>
      <c r="D149">
        <v>32</v>
      </c>
      <c r="E149">
        <v>26</v>
      </c>
      <c r="F149">
        <v>75</v>
      </c>
      <c r="G149" s="2">
        <f>Table1[[#This Row],[Attended_Classes]]/Table1[[#This Row],[Total_Classes]]</f>
        <v>0.8125</v>
      </c>
      <c r="H149" t="str">
        <f>IF(Table1[[#This Row],[Attendance_%]]&lt;0.75,"Not Eligible","Eligible")</f>
        <v>Eligible</v>
      </c>
      <c r="I149">
        <f>_xlfn.XLOOKUP(Table1[[#This Row],[Student_ID]],Student_Master!$A:$A,Student_Master!$C:$C)</f>
        <v>0</v>
      </c>
      <c r="J149">
        <f>_xlfn.XLOOKUP(Table1[[#This Row],[Student_ID]],Student_Master!$A:$A,Student_Master!$D:$D)</f>
        <v>0</v>
      </c>
    </row>
    <row r="150" spans="2:10" x14ac:dyDescent="0.35">
      <c r="B150" t="s">
        <v>59</v>
      </c>
      <c r="C150" t="s">
        <v>7</v>
      </c>
      <c r="D150">
        <v>44</v>
      </c>
      <c r="E150">
        <v>26</v>
      </c>
      <c r="F150">
        <v>72</v>
      </c>
      <c r="G150" s="3">
        <f>Table1[[#This Row],[Attended_Classes]]/Table1[[#This Row],[Total_Classes]]</f>
        <v>0.59090909090909094</v>
      </c>
      <c r="H150" t="str">
        <f>IF(Table1[[#This Row],[Attendance_%]]&lt;0.75,"Not Eligible","Eligible")</f>
        <v>Not Eligible</v>
      </c>
      <c r="I150">
        <f>_xlfn.XLOOKUP(Table1[[#This Row],[Student_ID]],Student_Master!$A:$A,Student_Master!$C:$C)</f>
        <v>0</v>
      </c>
      <c r="J150">
        <f>_xlfn.XLOOKUP(Table1[[#This Row],[Student_ID]],Student_Master!$A:$A,Student_Master!$D:$D)</f>
        <v>0</v>
      </c>
    </row>
    <row r="151" spans="2:10" ht="15" thickBot="1" x14ac:dyDescent="0.4">
      <c r="B151" t="s">
        <v>59</v>
      </c>
      <c r="C151" t="s">
        <v>10</v>
      </c>
      <c r="D151">
        <v>40</v>
      </c>
      <c r="E151">
        <v>33</v>
      </c>
      <c r="F151">
        <v>68</v>
      </c>
      <c r="G151" s="4">
        <f>Table1[[#This Row],[Attended_Classes]]/Table1[[#This Row],[Total_Classes]]</f>
        <v>0.82499999999999996</v>
      </c>
      <c r="H151" t="str">
        <f>IF(Table1[[#This Row],[Attendance_%]]&lt;0.75,"Not Eligible","Eligible")</f>
        <v>Eligible</v>
      </c>
      <c r="I151">
        <f>_xlfn.XLOOKUP(Table1[[#This Row],[Student_ID]],Student_Master!$A:$A,Student_Master!$C:$C)</f>
        <v>0</v>
      </c>
      <c r="J151">
        <f>_xlfn.XLOOKUP(Table1[[#This Row],[Student_ID]],Student_Master!$A:$A,Student_Master!$D:$D)</f>
        <v>0</v>
      </c>
    </row>
    <row r="152" spans="2:10" x14ac:dyDescent="0.35">
      <c r="F152" s="2"/>
    </row>
  </sheetData>
  <phoneticPr fontId="3"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2FAC7-012F-478F-9B56-07F1552E4DE5}">
  <dimension ref="A1:D51"/>
  <sheetViews>
    <sheetView workbookViewId="0">
      <selection activeCell="D4" sqref="D4"/>
    </sheetView>
  </sheetViews>
  <sheetFormatPr defaultRowHeight="14.5" x14ac:dyDescent="0.35"/>
  <cols>
    <col min="1" max="1" width="15.54296875" customWidth="1"/>
    <col min="2" max="4" width="10.453125" customWidth="1"/>
  </cols>
  <sheetData>
    <row r="1" spans="1:4" x14ac:dyDescent="0.35">
      <c r="A1" t="s">
        <v>118</v>
      </c>
      <c r="B1" t="s">
        <v>0</v>
      </c>
      <c r="C1" t="s">
        <v>60</v>
      </c>
      <c r="D1" t="s">
        <v>61</v>
      </c>
    </row>
    <row r="2" spans="1:4" x14ac:dyDescent="0.35">
      <c r="A2" t="s">
        <v>62</v>
      </c>
      <c r="B2" t="s">
        <v>5</v>
      </c>
      <c r="C2" t="s">
        <v>63</v>
      </c>
      <c r="D2">
        <v>3</v>
      </c>
    </row>
    <row r="3" spans="1:4" x14ac:dyDescent="0.35">
      <c r="A3" t="s">
        <v>64</v>
      </c>
      <c r="B3" t="s">
        <v>9</v>
      </c>
      <c r="C3" t="s">
        <v>65</v>
      </c>
      <c r="D3">
        <v>2</v>
      </c>
    </row>
    <row r="4" spans="1:4" x14ac:dyDescent="0.35">
      <c r="A4" t="s">
        <v>66</v>
      </c>
      <c r="B4" t="s">
        <v>11</v>
      </c>
      <c r="C4" t="s">
        <v>67</v>
      </c>
      <c r="D4">
        <v>3</v>
      </c>
    </row>
    <row r="5" spans="1:4" x14ac:dyDescent="0.35">
      <c r="A5" t="s">
        <v>68</v>
      </c>
      <c r="B5" t="s">
        <v>13</v>
      </c>
      <c r="C5" t="s">
        <v>67</v>
      </c>
      <c r="D5">
        <v>4</v>
      </c>
    </row>
    <row r="6" spans="1:4" x14ac:dyDescent="0.35">
      <c r="A6" t="s">
        <v>69</v>
      </c>
      <c r="B6" t="s">
        <v>14</v>
      </c>
      <c r="C6" t="s">
        <v>63</v>
      </c>
      <c r="D6">
        <v>3</v>
      </c>
    </row>
    <row r="7" spans="1:4" x14ac:dyDescent="0.35">
      <c r="A7" t="s">
        <v>70</v>
      </c>
      <c r="B7" t="s">
        <v>15</v>
      </c>
      <c r="C7" t="s">
        <v>65</v>
      </c>
      <c r="D7">
        <v>4</v>
      </c>
    </row>
    <row r="8" spans="1:4" x14ac:dyDescent="0.35">
      <c r="A8" t="s">
        <v>71</v>
      </c>
      <c r="B8" t="s">
        <v>16</v>
      </c>
      <c r="C8" t="s">
        <v>67</v>
      </c>
      <c r="D8">
        <v>4</v>
      </c>
    </row>
    <row r="9" spans="1:4" x14ac:dyDescent="0.35">
      <c r="A9" t="s">
        <v>72</v>
      </c>
      <c r="B9" t="s">
        <v>17</v>
      </c>
      <c r="C9" t="s">
        <v>67</v>
      </c>
      <c r="D9">
        <v>1</v>
      </c>
    </row>
    <row r="10" spans="1:4" x14ac:dyDescent="0.35">
      <c r="A10" t="s">
        <v>73</v>
      </c>
      <c r="B10" t="s">
        <v>18</v>
      </c>
      <c r="C10" t="s">
        <v>63</v>
      </c>
      <c r="D10">
        <v>3</v>
      </c>
    </row>
    <row r="11" spans="1:4" x14ac:dyDescent="0.35">
      <c r="A11" t="s">
        <v>74</v>
      </c>
      <c r="B11" t="s">
        <v>19</v>
      </c>
      <c r="C11" t="s">
        <v>75</v>
      </c>
      <c r="D11">
        <v>1</v>
      </c>
    </row>
    <row r="12" spans="1:4" x14ac:dyDescent="0.35">
      <c r="A12" t="s">
        <v>76</v>
      </c>
      <c r="B12" t="s">
        <v>20</v>
      </c>
      <c r="C12" t="s">
        <v>63</v>
      </c>
      <c r="D12">
        <v>3</v>
      </c>
    </row>
    <row r="13" spans="1:4" x14ac:dyDescent="0.35">
      <c r="A13" t="s">
        <v>77</v>
      </c>
      <c r="B13" t="s">
        <v>21</v>
      </c>
      <c r="C13" t="s">
        <v>63</v>
      </c>
      <c r="D13">
        <v>3</v>
      </c>
    </row>
    <row r="14" spans="1:4" x14ac:dyDescent="0.35">
      <c r="A14" t="s">
        <v>78</v>
      </c>
      <c r="B14" t="s">
        <v>22</v>
      </c>
      <c r="C14" t="s">
        <v>63</v>
      </c>
      <c r="D14">
        <v>1</v>
      </c>
    </row>
    <row r="15" spans="1:4" x14ac:dyDescent="0.35">
      <c r="A15" t="s">
        <v>79</v>
      </c>
      <c r="B15" t="s">
        <v>23</v>
      </c>
      <c r="C15" t="s">
        <v>63</v>
      </c>
      <c r="D15">
        <v>1</v>
      </c>
    </row>
    <row r="16" spans="1:4" x14ac:dyDescent="0.35">
      <c r="A16" t="s">
        <v>80</v>
      </c>
      <c r="B16" t="s">
        <v>24</v>
      </c>
      <c r="C16" t="s">
        <v>65</v>
      </c>
      <c r="D16">
        <v>3</v>
      </c>
    </row>
    <row r="17" spans="1:4" x14ac:dyDescent="0.35">
      <c r="A17" t="s">
        <v>81</v>
      </c>
      <c r="B17" t="s">
        <v>25</v>
      </c>
      <c r="C17" t="s">
        <v>67</v>
      </c>
      <c r="D17">
        <v>2</v>
      </c>
    </row>
    <row r="18" spans="1:4" x14ac:dyDescent="0.35">
      <c r="A18" t="s">
        <v>82</v>
      </c>
      <c r="B18" t="s">
        <v>26</v>
      </c>
      <c r="C18" t="s">
        <v>65</v>
      </c>
      <c r="D18">
        <v>4</v>
      </c>
    </row>
    <row r="19" spans="1:4" x14ac:dyDescent="0.35">
      <c r="A19" t="s">
        <v>83</v>
      </c>
      <c r="B19" t="s">
        <v>27</v>
      </c>
      <c r="C19" t="s">
        <v>65</v>
      </c>
      <c r="D19">
        <v>1</v>
      </c>
    </row>
    <row r="20" spans="1:4" x14ac:dyDescent="0.35">
      <c r="A20" t="s">
        <v>84</v>
      </c>
      <c r="B20" t="s">
        <v>28</v>
      </c>
      <c r="C20" t="s">
        <v>65</v>
      </c>
      <c r="D20">
        <v>4</v>
      </c>
    </row>
    <row r="21" spans="1:4" x14ac:dyDescent="0.35">
      <c r="A21" t="s">
        <v>85</v>
      </c>
      <c r="B21" t="s">
        <v>29</v>
      </c>
      <c r="C21" t="s">
        <v>63</v>
      </c>
      <c r="D21">
        <v>2</v>
      </c>
    </row>
    <row r="22" spans="1:4" x14ac:dyDescent="0.35">
      <c r="A22" t="s">
        <v>86</v>
      </c>
      <c r="B22" t="s">
        <v>30</v>
      </c>
      <c r="C22" t="s">
        <v>75</v>
      </c>
      <c r="D22">
        <v>2</v>
      </c>
    </row>
    <row r="23" spans="1:4" x14ac:dyDescent="0.35">
      <c r="A23" t="s">
        <v>87</v>
      </c>
      <c r="B23" t="s">
        <v>31</v>
      </c>
      <c r="C23" t="s">
        <v>67</v>
      </c>
      <c r="D23">
        <v>2</v>
      </c>
    </row>
    <row r="24" spans="1:4" x14ac:dyDescent="0.35">
      <c r="A24" t="s">
        <v>88</v>
      </c>
      <c r="B24" t="s">
        <v>32</v>
      </c>
      <c r="C24" t="s">
        <v>75</v>
      </c>
      <c r="D24">
        <v>1</v>
      </c>
    </row>
    <row r="25" spans="1:4" x14ac:dyDescent="0.35">
      <c r="A25" t="s">
        <v>89</v>
      </c>
      <c r="B25" t="s">
        <v>33</v>
      </c>
      <c r="C25" t="s">
        <v>65</v>
      </c>
      <c r="D25">
        <v>2</v>
      </c>
    </row>
    <row r="26" spans="1:4" x14ac:dyDescent="0.35">
      <c r="A26" t="s">
        <v>90</v>
      </c>
      <c r="B26" t="s">
        <v>34</v>
      </c>
      <c r="C26" t="s">
        <v>65</v>
      </c>
      <c r="D26">
        <v>1</v>
      </c>
    </row>
    <row r="27" spans="1:4" x14ac:dyDescent="0.35">
      <c r="A27" t="s">
        <v>91</v>
      </c>
      <c r="B27" t="s">
        <v>35</v>
      </c>
      <c r="C27" t="s">
        <v>75</v>
      </c>
      <c r="D27">
        <v>2</v>
      </c>
    </row>
    <row r="28" spans="1:4" x14ac:dyDescent="0.35">
      <c r="A28" t="s">
        <v>92</v>
      </c>
      <c r="B28" t="s">
        <v>36</v>
      </c>
      <c r="C28" t="s">
        <v>75</v>
      </c>
      <c r="D28">
        <v>4</v>
      </c>
    </row>
    <row r="29" spans="1:4" x14ac:dyDescent="0.35">
      <c r="A29" t="s">
        <v>93</v>
      </c>
      <c r="B29" t="s">
        <v>37</v>
      </c>
      <c r="C29" t="s">
        <v>75</v>
      </c>
      <c r="D29">
        <v>4</v>
      </c>
    </row>
    <row r="30" spans="1:4" x14ac:dyDescent="0.35">
      <c r="A30" t="s">
        <v>94</v>
      </c>
      <c r="B30" t="s">
        <v>38</v>
      </c>
      <c r="C30" t="s">
        <v>65</v>
      </c>
      <c r="D30">
        <v>3</v>
      </c>
    </row>
    <row r="31" spans="1:4" x14ac:dyDescent="0.35">
      <c r="A31" t="s">
        <v>95</v>
      </c>
      <c r="B31" t="s">
        <v>39</v>
      </c>
      <c r="C31" t="s">
        <v>65</v>
      </c>
      <c r="D31">
        <v>4</v>
      </c>
    </row>
    <row r="32" spans="1:4" x14ac:dyDescent="0.35">
      <c r="A32" t="s">
        <v>96</v>
      </c>
      <c r="B32" t="s">
        <v>40</v>
      </c>
      <c r="C32" t="s">
        <v>67</v>
      </c>
      <c r="D32">
        <v>3</v>
      </c>
    </row>
    <row r="33" spans="1:4" x14ac:dyDescent="0.35">
      <c r="A33" t="s">
        <v>97</v>
      </c>
      <c r="B33" t="s">
        <v>41</v>
      </c>
      <c r="C33" t="s">
        <v>67</v>
      </c>
      <c r="D33">
        <v>4</v>
      </c>
    </row>
    <row r="34" spans="1:4" x14ac:dyDescent="0.35">
      <c r="A34" t="s">
        <v>98</v>
      </c>
      <c r="B34" t="s">
        <v>42</v>
      </c>
      <c r="C34" t="s">
        <v>65</v>
      </c>
      <c r="D34">
        <v>1</v>
      </c>
    </row>
    <row r="35" spans="1:4" x14ac:dyDescent="0.35">
      <c r="A35" t="s">
        <v>99</v>
      </c>
      <c r="B35" t="s">
        <v>43</v>
      </c>
      <c r="C35" t="s">
        <v>75</v>
      </c>
      <c r="D35">
        <v>4</v>
      </c>
    </row>
    <row r="36" spans="1:4" x14ac:dyDescent="0.35">
      <c r="A36" t="s">
        <v>100</v>
      </c>
      <c r="B36" t="s">
        <v>44</v>
      </c>
      <c r="C36" t="s">
        <v>75</v>
      </c>
      <c r="D36">
        <v>3</v>
      </c>
    </row>
    <row r="37" spans="1:4" x14ac:dyDescent="0.35">
      <c r="A37" t="s">
        <v>101</v>
      </c>
      <c r="B37" t="s">
        <v>45</v>
      </c>
      <c r="C37" t="s">
        <v>67</v>
      </c>
      <c r="D37">
        <v>3</v>
      </c>
    </row>
    <row r="38" spans="1:4" x14ac:dyDescent="0.35">
      <c r="A38" t="s">
        <v>102</v>
      </c>
      <c r="B38" t="s">
        <v>46</v>
      </c>
      <c r="C38" t="s">
        <v>65</v>
      </c>
      <c r="D38">
        <v>2</v>
      </c>
    </row>
    <row r="39" spans="1:4" x14ac:dyDescent="0.35">
      <c r="A39" t="s">
        <v>103</v>
      </c>
      <c r="B39" t="s">
        <v>47</v>
      </c>
      <c r="C39" t="s">
        <v>67</v>
      </c>
      <c r="D39">
        <v>1</v>
      </c>
    </row>
    <row r="40" spans="1:4" x14ac:dyDescent="0.35">
      <c r="A40" t="s">
        <v>104</v>
      </c>
      <c r="B40" t="s">
        <v>48</v>
      </c>
      <c r="C40" t="s">
        <v>67</v>
      </c>
      <c r="D40">
        <v>4</v>
      </c>
    </row>
    <row r="41" spans="1:4" x14ac:dyDescent="0.35">
      <c r="A41" t="s">
        <v>105</v>
      </c>
      <c r="B41" t="s">
        <v>49</v>
      </c>
      <c r="C41" t="s">
        <v>63</v>
      </c>
      <c r="D41">
        <v>2</v>
      </c>
    </row>
    <row r="42" spans="1:4" x14ac:dyDescent="0.35">
      <c r="A42" t="s">
        <v>106</v>
      </c>
      <c r="B42" t="s">
        <v>50</v>
      </c>
      <c r="C42" t="s">
        <v>63</v>
      </c>
      <c r="D42">
        <v>4</v>
      </c>
    </row>
    <row r="43" spans="1:4" x14ac:dyDescent="0.35">
      <c r="A43" t="s">
        <v>107</v>
      </c>
      <c r="B43" t="s">
        <v>51</v>
      </c>
      <c r="C43" t="s">
        <v>63</v>
      </c>
      <c r="D43">
        <v>4</v>
      </c>
    </row>
    <row r="44" spans="1:4" x14ac:dyDescent="0.35">
      <c r="A44" t="s">
        <v>108</v>
      </c>
      <c r="B44" t="s">
        <v>52</v>
      </c>
      <c r="C44" t="s">
        <v>75</v>
      </c>
      <c r="D44">
        <v>2</v>
      </c>
    </row>
    <row r="45" spans="1:4" x14ac:dyDescent="0.35">
      <c r="A45" t="s">
        <v>109</v>
      </c>
      <c r="B45" t="s">
        <v>53</v>
      </c>
      <c r="C45" t="s">
        <v>65</v>
      </c>
      <c r="D45">
        <v>2</v>
      </c>
    </row>
    <row r="46" spans="1:4" x14ac:dyDescent="0.35">
      <c r="A46" t="s">
        <v>110</v>
      </c>
      <c r="B46" t="s">
        <v>54</v>
      </c>
      <c r="C46" t="s">
        <v>65</v>
      </c>
      <c r="D46">
        <v>2</v>
      </c>
    </row>
    <row r="47" spans="1:4" x14ac:dyDescent="0.35">
      <c r="A47" t="s">
        <v>111</v>
      </c>
      <c r="B47" t="s">
        <v>55</v>
      </c>
      <c r="C47" t="s">
        <v>65</v>
      </c>
      <c r="D47">
        <v>2</v>
      </c>
    </row>
    <row r="48" spans="1:4" x14ac:dyDescent="0.35">
      <c r="A48" t="s">
        <v>112</v>
      </c>
      <c r="B48" t="s">
        <v>56</v>
      </c>
      <c r="C48" t="s">
        <v>65</v>
      </c>
      <c r="D48">
        <v>2</v>
      </c>
    </row>
    <row r="49" spans="1:4" x14ac:dyDescent="0.35">
      <c r="A49" t="s">
        <v>113</v>
      </c>
      <c r="B49" t="s">
        <v>57</v>
      </c>
      <c r="C49" t="s">
        <v>63</v>
      </c>
      <c r="D49">
        <v>4</v>
      </c>
    </row>
    <row r="50" spans="1:4" x14ac:dyDescent="0.35">
      <c r="A50" t="s">
        <v>114</v>
      </c>
      <c r="B50" t="s">
        <v>58</v>
      </c>
      <c r="C50" t="s">
        <v>75</v>
      </c>
      <c r="D50">
        <v>2</v>
      </c>
    </row>
    <row r="51" spans="1:4" x14ac:dyDescent="0.35">
      <c r="A51" t="s">
        <v>115</v>
      </c>
      <c r="B51" t="s">
        <v>59</v>
      </c>
      <c r="C51" t="s">
        <v>75</v>
      </c>
      <c r="D51">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C8E10-945F-4A60-85C4-2C2808EBA678}">
  <dimension ref="A1:H13"/>
  <sheetViews>
    <sheetView workbookViewId="0">
      <selection activeCell="H9" sqref="H9"/>
    </sheetView>
  </sheetViews>
  <sheetFormatPr defaultRowHeight="14.5" x14ac:dyDescent="0.35"/>
  <cols>
    <col min="1" max="1" width="12.453125" bestFit="1" customWidth="1"/>
    <col min="2" max="2" width="22" bestFit="1" customWidth="1"/>
    <col min="3" max="3" width="22" customWidth="1"/>
    <col min="4" max="4" width="12.453125" bestFit="1" customWidth="1"/>
    <col min="5" max="5" width="11.54296875" bestFit="1" customWidth="1"/>
    <col min="6" max="6" width="13.1796875" customWidth="1"/>
    <col min="7" max="7" width="12.453125" bestFit="1" customWidth="1"/>
    <col min="8" max="8" width="14.81640625" bestFit="1" customWidth="1"/>
    <col min="9" max="21" width="3.81640625" bestFit="1" customWidth="1"/>
    <col min="22" max="23" width="2.81640625" bestFit="1" customWidth="1"/>
    <col min="24" max="25" width="3.81640625" bestFit="1" customWidth="1"/>
    <col min="26" max="26" width="10.36328125" bestFit="1" customWidth="1"/>
  </cols>
  <sheetData>
    <row r="1" spans="1:8" x14ac:dyDescent="0.35">
      <c r="A1" s="5" t="s">
        <v>119</v>
      </c>
      <c r="B1" t="s">
        <v>121</v>
      </c>
      <c r="D1" s="5" t="s">
        <v>119</v>
      </c>
      <c r="E1" t="s">
        <v>122</v>
      </c>
      <c r="G1" s="5" t="s">
        <v>119</v>
      </c>
      <c r="H1" t="s">
        <v>124</v>
      </c>
    </row>
    <row r="2" spans="1:8" x14ac:dyDescent="0.35">
      <c r="A2" s="6" t="s">
        <v>7</v>
      </c>
      <c r="B2" s="8">
        <v>0.75760615378254315</v>
      </c>
      <c r="C2" s="8"/>
      <c r="D2" s="6" t="s">
        <v>7</v>
      </c>
      <c r="E2" s="7">
        <v>100</v>
      </c>
      <c r="F2" s="7"/>
      <c r="G2" s="6" t="s">
        <v>117</v>
      </c>
      <c r="H2" s="7">
        <v>85</v>
      </c>
    </row>
    <row r="3" spans="1:8" x14ac:dyDescent="0.35">
      <c r="A3" s="6" t="s">
        <v>12</v>
      </c>
      <c r="B3" s="8">
        <v>0.80369242364457572</v>
      </c>
      <c r="C3" s="8"/>
      <c r="D3" s="6" t="s">
        <v>12</v>
      </c>
      <c r="E3" s="7">
        <v>94</v>
      </c>
      <c r="F3" s="7"/>
      <c r="G3" s="6" t="s">
        <v>123</v>
      </c>
      <c r="H3" s="7">
        <v>65</v>
      </c>
    </row>
    <row r="4" spans="1:8" x14ac:dyDescent="0.35">
      <c r="A4" s="6" t="s">
        <v>6</v>
      </c>
      <c r="B4" s="8">
        <v>0.79631340191572442</v>
      </c>
      <c r="C4" s="8"/>
      <c r="D4" s="6" t="s">
        <v>6</v>
      </c>
      <c r="E4" s="7">
        <v>96</v>
      </c>
      <c r="F4" s="7"/>
      <c r="G4" s="6" t="s">
        <v>120</v>
      </c>
      <c r="H4" s="7">
        <v>150</v>
      </c>
    </row>
    <row r="5" spans="1:8" x14ac:dyDescent="0.35">
      <c r="A5" s="6" t="s">
        <v>10</v>
      </c>
      <c r="B5" s="8">
        <v>0.73747940498789466</v>
      </c>
      <c r="C5" s="8"/>
      <c r="D5" s="6" t="s">
        <v>10</v>
      </c>
      <c r="E5" s="7">
        <v>99</v>
      </c>
      <c r="F5" s="7"/>
    </row>
    <row r="6" spans="1:8" x14ac:dyDescent="0.35">
      <c r="A6" s="6" t="s">
        <v>8</v>
      </c>
      <c r="B6" s="8">
        <v>0.77767592572153865</v>
      </c>
      <c r="C6" s="8"/>
      <c r="D6" s="6" t="s">
        <v>8</v>
      </c>
      <c r="E6" s="7">
        <v>99</v>
      </c>
      <c r="F6" s="7"/>
    </row>
    <row r="7" spans="1:8" x14ac:dyDescent="0.35">
      <c r="A7" s="6" t="s">
        <v>120</v>
      </c>
      <c r="B7" s="8">
        <v>0.77444900004104833</v>
      </c>
      <c r="C7" s="8"/>
      <c r="D7" s="6" t="s">
        <v>120</v>
      </c>
      <c r="E7" s="7">
        <v>100</v>
      </c>
      <c r="F7" s="7"/>
      <c r="G7" s="5" t="s">
        <v>119</v>
      </c>
      <c r="H7" t="s">
        <v>125</v>
      </c>
    </row>
    <row r="8" spans="1:8" x14ac:dyDescent="0.35">
      <c r="G8" s="6">
        <v>0</v>
      </c>
      <c r="H8" s="7">
        <v>70.510000000000005</v>
      </c>
    </row>
    <row r="9" spans="1:8" x14ac:dyDescent="0.35">
      <c r="G9" s="6" t="s">
        <v>65</v>
      </c>
      <c r="H9" s="7">
        <v>62.8125</v>
      </c>
    </row>
    <row r="10" spans="1:8" x14ac:dyDescent="0.35">
      <c r="G10" s="6" t="s">
        <v>67</v>
      </c>
      <c r="H10" s="7">
        <v>76.545454545454547</v>
      </c>
    </row>
    <row r="11" spans="1:8" x14ac:dyDescent="0.35">
      <c r="G11" s="6" t="s">
        <v>75</v>
      </c>
      <c r="H11" s="7">
        <v>59.272727272727273</v>
      </c>
    </row>
    <row r="12" spans="1:8" x14ac:dyDescent="0.35">
      <c r="G12" s="6" t="s">
        <v>63</v>
      </c>
      <c r="H12" s="7">
        <v>65.75</v>
      </c>
    </row>
    <row r="13" spans="1:8" x14ac:dyDescent="0.35">
      <c r="G13" s="6" t="s">
        <v>120</v>
      </c>
      <c r="H13" s="7">
        <v>68.926666666666662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4798E-9F0F-4E8D-9B42-A7CBE45F3345}">
  <dimension ref="A1"/>
  <sheetViews>
    <sheetView zoomScale="104" workbookViewId="0">
      <selection activeCell="K19" sqref="K1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Student_Master</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Kamakshi Pal</dc:creator>
  <cp:lastModifiedBy>Kamakshi Pal</cp:lastModifiedBy>
  <dcterms:created xsi:type="dcterms:W3CDTF">2026-02-07T09:37:48Z</dcterms:created>
  <dcterms:modified xsi:type="dcterms:W3CDTF">2026-02-07T11:22:54Z</dcterms:modified>
</cp:coreProperties>
</file>